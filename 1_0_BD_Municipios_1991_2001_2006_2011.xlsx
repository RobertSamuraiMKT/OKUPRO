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Jose Manuel Gómez\Documents\1_DOCTORADO\1_DATOS_DOCUMENTACION\202011_BBVV\"/>
    </mc:Choice>
  </mc:AlternateContent>
  <xr:revisionPtr revIDLastSave="0" documentId="13_ncr:1_{6A1B93A3-F5EA-4ED3-8AA8-47A29DF6A5A5}" xr6:coauthVersionLast="45" xr6:coauthVersionMax="45" xr10:uidLastSave="{00000000-0000-0000-0000-000000000000}"/>
  <bookViews>
    <workbookView xWindow="-120" yWindow="-120" windowWidth="20730" windowHeight="11160" tabRatio="602" activeTab="1" xr2:uid="{00000000-000D-0000-FFFF-FFFF00000000}"/>
  </bookViews>
  <sheets>
    <sheet name="Leyenda" sheetId="3" r:id="rId1"/>
    <sheet name="BD" sheetId="1" r:id="rId2"/>
  </sheets>
  <definedNames>
    <definedName name="_xlnm._FilterDatabase" localSheetId="1" hidden="1">BD!$A$1:$L$152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1" l="1"/>
  <c r="T57" i="1"/>
  <c r="T67" i="1"/>
  <c r="T78" i="1"/>
  <c r="T84" i="1"/>
  <c r="T85" i="1"/>
  <c r="T117" i="1"/>
  <c r="T118" i="1"/>
  <c r="T125" i="1"/>
  <c r="T126" i="1"/>
  <c r="T136" i="1"/>
  <c r="T139" i="1"/>
  <c r="T15" i="1"/>
  <c r="T22" i="1"/>
  <c r="T23" i="1"/>
  <c r="T34" i="1"/>
  <c r="T48" i="1"/>
  <c r="T50" i="1"/>
  <c r="T60" i="1"/>
  <c r="T61" i="1"/>
  <c r="T64" i="1"/>
  <c r="T68" i="1"/>
  <c r="T73" i="1"/>
  <c r="T74" i="1"/>
  <c r="T79" i="1"/>
  <c r="T80" i="1"/>
  <c r="T81" i="1"/>
  <c r="T89" i="1"/>
  <c r="T90" i="1"/>
  <c r="T122" i="1"/>
  <c r="T124" i="1"/>
  <c r="T131" i="1"/>
  <c r="T134" i="1"/>
  <c r="T146" i="1"/>
  <c r="T144" i="1"/>
</calcChain>
</file>

<file path=xl/sharedStrings.xml><?xml version="1.0" encoding="utf-8"?>
<sst xmlns="http://schemas.openxmlformats.org/spreadsheetml/2006/main" count="1189" uniqueCount="529">
  <si>
    <t>COD_MUN</t>
  </si>
  <si>
    <t>Almería</t>
  </si>
  <si>
    <t>Roquetas de Mar</t>
  </si>
  <si>
    <t>Ejido, El</t>
  </si>
  <si>
    <t>Algeciras</t>
  </si>
  <si>
    <t>Cádiz</t>
  </si>
  <si>
    <t>Chiclana de la Frontera</t>
  </si>
  <si>
    <t>Jerez de la Frontera</t>
  </si>
  <si>
    <t>Línea de la Concepción, La</t>
  </si>
  <si>
    <t>Puerto de Santa María, El</t>
  </si>
  <si>
    <t>San Fernando</t>
  </si>
  <si>
    <t>Sanlúcar de Barrameda</t>
  </si>
  <si>
    <t>Córdoba</t>
  </si>
  <si>
    <t>Granada</t>
  </si>
  <si>
    <t>Motril</t>
  </si>
  <si>
    <t>Huelva</t>
  </si>
  <si>
    <t>Jaén</t>
  </si>
  <si>
    <t>Linares</t>
  </si>
  <si>
    <t>Benalmádena</t>
  </si>
  <si>
    <t>Estepona</t>
  </si>
  <si>
    <t>Fuengirola</t>
  </si>
  <si>
    <t>Málaga</t>
  </si>
  <si>
    <t>Marbella</t>
  </si>
  <si>
    <t>Mijas</t>
  </si>
  <si>
    <t>Vélez-Málaga</t>
  </si>
  <si>
    <t>Torremolinos</t>
  </si>
  <si>
    <t>Alcalá de Guadaíra</t>
  </si>
  <si>
    <t>Dos Hermanas</t>
  </si>
  <si>
    <t>Sevilla</t>
  </si>
  <si>
    <t>Utrera</t>
  </si>
  <si>
    <t>Andalucía</t>
  </si>
  <si>
    <t>Huesca</t>
  </si>
  <si>
    <t>Teruel</t>
  </si>
  <si>
    <t>Zaragoza</t>
  </si>
  <si>
    <t>Aragón</t>
  </si>
  <si>
    <t>Avilés</t>
  </si>
  <si>
    <t>Gijón</t>
  </si>
  <si>
    <t>Mieres</t>
  </si>
  <si>
    <t>Oviedo</t>
  </si>
  <si>
    <t>Langreo</t>
  </si>
  <si>
    <t>Siero</t>
  </si>
  <si>
    <t>Arrecife</t>
  </si>
  <si>
    <t>Palmas de Gran Canaria, Las</t>
  </si>
  <si>
    <t>San Bartolomé de Tirajana</t>
  </si>
  <si>
    <t>Santa Lucía de Tirajana</t>
  </si>
  <si>
    <t>Telde</t>
  </si>
  <si>
    <t>Arona</t>
  </si>
  <si>
    <t>San Cristóbal de la Laguna</t>
  </si>
  <si>
    <t>Santa Cruz de Tenerife</t>
  </si>
  <si>
    <t>Santander</t>
  </si>
  <si>
    <t>Torrelavega</t>
  </si>
  <si>
    <t>Albacete</t>
  </si>
  <si>
    <t>Ciudad Real</t>
  </si>
  <si>
    <t>Puertollano</t>
  </si>
  <si>
    <t>Cuenca</t>
  </si>
  <si>
    <t>Guadalajara</t>
  </si>
  <si>
    <t>Talavera de la Reina</t>
  </si>
  <si>
    <t>Toledo</t>
  </si>
  <si>
    <t>Ávila</t>
  </si>
  <si>
    <t>Burgos</t>
  </si>
  <si>
    <t>León</t>
  </si>
  <si>
    <t>Ponferrada</t>
  </si>
  <si>
    <t>Palencia</t>
  </si>
  <si>
    <t>Salamanca</t>
  </si>
  <si>
    <t>Segovia</t>
  </si>
  <si>
    <t>Soria</t>
  </si>
  <si>
    <t>Asturias, Principado de</t>
  </si>
  <si>
    <t>Balears, Illes</t>
  </si>
  <si>
    <t>Canarias</t>
  </si>
  <si>
    <t>Cantabria</t>
  </si>
  <si>
    <t>Castilla - La Mancha</t>
  </si>
  <si>
    <t>Castilla y León</t>
  </si>
  <si>
    <t>Valladolid</t>
  </si>
  <si>
    <t>Zamora</t>
  </si>
  <si>
    <t>Badalona</t>
  </si>
  <si>
    <t>Barcelona</t>
  </si>
  <si>
    <t>Castelldefels</t>
  </si>
  <si>
    <t>Cornellà de Llobregat</t>
  </si>
  <si>
    <t>Granollers</t>
  </si>
  <si>
    <t>Hospitalet de Llobregat, L'</t>
  </si>
  <si>
    <t>Manresa</t>
  </si>
  <si>
    <t>Mataró</t>
  </si>
  <si>
    <t>Mollet del Vallès</t>
  </si>
  <si>
    <t>Prat de Llobregat, El</t>
  </si>
  <si>
    <t>Rubí</t>
  </si>
  <si>
    <t>Sabadell</t>
  </si>
  <si>
    <t>Sant Boi de Llobregat</t>
  </si>
  <si>
    <t>Sant Cugat del Vallès</t>
  </si>
  <si>
    <t>Santa Coloma de Gramenet</t>
  </si>
  <si>
    <t>Cerdanyola del Vallès</t>
  </si>
  <si>
    <t>Terrassa</t>
  </si>
  <si>
    <t>Viladecans</t>
  </si>
  <si>
    <t>Vilanova i la Geltrú</t>
  </si>
  <si>
    <t>Girona</t>
  </si>
  <si>
    <t>Lleida</t>
  </si>
  <si>
    <t>Reus</t>
  </si>
  <si>
    <t>Tarragona</t>
  </si>
  <si>
    <t>Ceuta</t>
  </si>
  <si>
    <t>Alcoy/Alcoi</t>
  </si>
  <si>
    <t>Alicante/Alacant</t>
  </si>
  <si>
    <t>Benidorm</t>
  </si>
  <si>
    <t>Elche/Elx</t>
  </si>
  <si>
    <t>Elda</t>
  </si>
  <si>
    <t>Orihuela</t>
  </si>
  <si>
    <t>Cataluña</t>
  </si>
  <si>
    <t>San Vicente del Raspeig/Sant Vicent del Raspeig</t>
  </si>
  <si>
    <t>Torrevieja</t>
  </si>
  <si>
    <t>Vila-real</t>
  </si>
  <si>
    <t>Paterna</t>
  </si>
  <si>
    <t>Sagunto/Sagunt</t>
  </si>
  <si>
    <t>Torrent</t>
  </si>
  <si>
    <t>Valencia/València</t>
  </si>
  <si>
    <t>Badajoz</t>
  </si>
  <si>
    <t>Mérida</t>
  </si>
  <si>
    <t>Cáceres</t>
  </si>
  <si>
    <t>Coruña, A</t>
  </si>
  <si>
    <t>Ferrol</t>
  </si>
  <si>
    <t>Santiago de Compostela</t>
  </si>
  <si>
    <t>Lugo</t>
  </si>
  <si>
    <t>Ourense</t>
  </si>
  <si>
    <t>Pontevedra</t>
  </si>
  <si>
    <t>Vigo</t>
  </si>
  <si>
    <t>Alcalá de Henares</t>
  </si>
  <si>
    <t>Alcobendas</t>
  </si>
  <si>
    <t>Alcorcón</t>
  </si>
  <si>
    <t>Aranjuez</t>
  </si>
  <si>
    <t>Arganda del Rey</t>
  </si>
  <si>
    <t>Collado Villalba</t>
  </si>
  <si>
    <t>Coslada</t>
  </si>
  <si>
    <t>Fuenlabrada</t>
  </si>
  <si>
    <t>Getafe</t>
  </si>
  <si>
    <t>Leganés</t>
  </si>
  <si>
    <t>Madrid</t>
  </si>
  <si>
    <t>Majadahonda</t>
  </si>
  <si>
    <t>Móstoles</t>
  </si>
  <si>
    <t>Comunitat Valenciana</t>
  </si>
  <si>
    <t>Extremadura</t>
  </si>
  <si>
    <t>Galicia</t>
  </si>
  <si>
    <t>Madrid, Comunidad de</t>
  </si>
  <si>
    <t>Parla</t>
  </si>
  <si>
    <t>Pozuelo de Alarcón</t>
  </si>
  <si>
    <t>Rivas-Vaciamadrid</t>
  </si>
  <si>
    <t>Rozas de Madrid, Las</t>
  </si>
  <si>
    <t>San Sebastián de los Reyes</t>
  </si>
  <si>
    <t>Torrejón de Ardoz</t>
  </si>
  <si>
    <t>Valdemoro</t>
  </si>
  <si>
    <t>Melilla</t>
  </si>
  <si>
    <t>Cartagena</t>
  </si>
  <si>
    <t>Lorca</t>
  </si>
  <si>
    <t>Molina de Segura</t>
  </si>
  <si>
    <t>Murcia</t>
  </si>
  <si>
    <t>Pamplona/Iruña</t>
  </si>
  <si>
    <t>Vitoria-Gasteiz</t>
  </si>
  <si>
    <t>Barakaldo</t>
  </si>
  <si>
    <t>Basauri</t>
  </si>
  <si>
    <t>Bilbao</t>
  </si>
  <si>
    <t>Getxo</t>
  </si>
  <si>
    <t>Portugalete</t>
  </si>
  <si>
    <t>Santurtzi</t>
  </si>
  <si>
    <t>Logroño</t>
  </si>
  <si>
    <t>Murcia, Región de</t>
  </si>
  <si>
    <t>País Vasco</t>
  </si>
  <si>
    <t>Navarra, Comunidad Foral de</t>
  </si>
  <si>
    <t>Rioja, La</t>
  </si>
  <si>
    <t>41004</t>
  </si>
  <si>
    <t>11004</t>
  </si>
  <si>
    <t>04013</t>
  </si>
  <si>
    <t>29025</t>
  </si>
  <si>
    <t>11012</t>
  </si>
  <si>
    <t>11015</t>
  </si>
  <si>
    <t>14021</t>
  </si>
  <si>
    <t>41038</t>
  </si>
  <si>
    <t>04902</t>
  </si>
  <si>
    <t>29051</t>
  </si>
  <si>
    <t>29054</t>
  </si>
  <si>
    <t>18087</t>
  </si>
  <si>
    <t>21041</t>
  </si>
  <si>
    <t>23050</t>
  </si>
  <si>
    <t>11020</t>
  </si>
  <si>
    <t>23055</t>
  </si>
  <si>
    <t>11022</t>
  </si>
  <si>
    <t>29067</t>
  </si>
  <si>
    <t>29069</t>
  </si>
  <si>
    <t>29070</t>
  </si>
  <si>
    <t>18140</t>
  </si>
  <si>
    <t>11027</t>
  </si>
  <si>
    <t>04079</t>
  </si>
  <si>
    <t>11031</t>
  </si>
  <si>
    <t>11032</t>
  </si>
  <si>
    <t>41091</t>
  </si>
  <si>
    <t>29901</t>
  </si>
  <si>
    <t>41095</t>
  </si>
  <si>
    <t>29094</t>
  </si>
  <si>
    <t>22125</t>
  </si>
  <si>
    <t>44216</t>
  </si>
  <si>
    <t>50297</t>
  </si>
  <si>
    <t>33004</t>
  </si>
  <si>
    <t>33024</t>
  </si>
  <si>
    <t>33044</t>
  </si>
  <si>
    <t>33066</t>
  </si>
  <si>
    <t>07040</t>
  </si>
  <si>
    <t>38006</t>
  </si>
  <si>
    <t>35004</t>
  </si>
  <si>
    <t>35016</t>
  </si>
  <si>
    <t>35019</t>
  </si>
  <si>
    <t>38023</t>
  </si>
  <si>
    <t>38038</t>
  </si>
  <si>
    <t>35022</t>
  </si>
  <si>
    <t>35026</t>
  </si>
  <si>
    <t>39075</t>
  </si>
  <si>
    <t>39087</t>
  </si>
  <si>
    <t>02003</t>
  </si>
  <si>
    <t>13034</t>
  </si>
  <si>
    <t>16078</t>
  </si>
  <si>
    <t>19130</t>
  </si>
  <si>
    <t>13071</t>
  </si>
  <si>
    <t>45165</t>
  </si>
  <si>
    <t>45168</t>
  </si>
  <si>
    <t>05019</t>
  </si>
  <si>
    <t>08015</t>
  </si>
  <si>
    <t>08019</t>
  </si>
  <si>
    <t>09059</t>
  </si>
  <si>
    <t>08056</t>
  </si>
  <si>
    <t>08266</t>
  </si>
  <si>
    <t>08073</t>
  </si>
  <si>
    <t>17079</t>
  </si>
  <si>
    <t>08096</t>
  </si>
  <si>
    <t>08101</t>
  </si>
  <si>
    <t>24089</t>
  </si>
  <si>
    <t>25120</t>
  </si>
  <si>
    <t>08113</t>
  </si>
  <si>
    <t>08121</t>
  </si>
  <si>
    <t>08124</t>
  </si>
  <si>
    <t>34120</t>
  </si>
  <si>
    <t>24115</t>
  </si>
  <si>
    <t>08169</t>
  </si>
  <si>
    <t>43123</t>
  </si>
  <si>
    <t>08184</t>
  </si>
  <si>
    <t>08187</t>
  </si>
  <si>
    <t>37274</t>
  </si>
  <si>
    <t>08200</t>
  </si>
  <si>
    <t>08205</t>
  </si>
  <si>
    <t>08245</t>
  </si>
  <si>
    <t>40194</t>
  </si>
  <si>
    <t>42173</t>
  </si>
  <si>
    <t>43148</t>
  </si>
  <si>
    <t>08279</t>
  </si>
  <si>
    <t>47186</t>
  </si>
  <si>
    <t>08301</t>
  </si>
  <si>
    <t>08307</t>
  </si>
  <si>
    <t>49275</t>
  </si>
  <si>
    <t>03009</t>
  </si>
  <si>
    <t>03014</t>
  </si>
  <si>
    <t>06015</t>
  </si>
  <si>
    <t>03031</t>
  </si>
  <si>
    <t>10037</t>
  </si>
  <si>
    <t>12040</t>
  </si>
  <si>
    <t>51001</t>
  </si>
  <si>
    <t>15030</t>
  </si>
  <si>
    <t>03065</t>
  </si>
  <si>
    <t>03066</t>
  </si>
  <si>
    <t>15036</t>
  </si>
  <si>
    <t>46131</t>
  </si>
  <si>
    <t>27028</t>
  </si>
  <si>
    <t>06083</t>
  </si>
  <si>
    <t>03099</t>
  </si>
  <si>
    <t>32054</t>
  </si>
  <si>
    <t>46190</t>
  </si>
  <si>
    <t>36038</t>
  </si>
  <si>
    <t>46220</t>
  </si>
  <si>
    <t>03122</t>
  </si>
  <si>
    <t>15078</t>
  </si>
  <si>
    <t>46244</t>
  </si>
  <si>
    <t>03133</t>
  </si>
  <si>
    <t>46250</t>
  </si>
  <si>
    <t>36057</t>
  </si>
  <si>
    <t>12135</t>
  </si>
  <si>
    <t>28005</t>
  </si>
  <si>
    <t>28006</t>
  </si>
  <si>
    <t>28007</t>
  </si>
  <si>
    <t>28013</t>
  </si>
  <si>
    <t>28014</t>
  </si>
  <si>
    <t>28047</t>
  </si>
  <si>
    <t>28049</t>
  </si>
  <si>
    <t>28058</t>
  </si>
  <si>
    <t>28065</t>
  </si>
  <si>
    <t>28074</t>
  </si>
  <si>
    <t>28079</t>
  </si>
  <si>
    <t>28080</t>
  </si>
  <si>
    <t>52001</t>
  </si>
  <si>
    <t>28092</t>
  </si>
  <si>
    <t>28106</t>
  </si>
  <si>
    <t>28115</t>
  </si>
  <si>
    <t>28123</t>
  </si>
  <si>
    <t>28127</t>
  </si>
  <si>
    <t>28134</t>
  </si>
  <si>
    <t>28148</t>
  </si>
  <si>
    <t>28161</t>
  </si>
  <si>
    <t>30016</t>
  </si>
  <si>
    <t>30024</t>
  </si>
  <si>
    <t>30027</t>
  </si>
  <si>
    <t>30030</t>
  </si>
  <si>
    <t>31201</t>
  </si>
  <si>
    <t>48013</t>
  </si>
  <si>
    <t>48020</t>
  </si>
  <si>
    <t>20069</t>
  </si>
  <si>
    <t>48044</t>
  </si>
  <si>
    <t>20045</t>
  </si>
  <si>
    <t>26089</t>
  </si>
  <si>
    <t>48078</t>
  </si>
  <si>
    <t>01059</t>
  </si>
  <si>
    <t>48015</t>
  </si>
  <si>
    <t>48082</t>
  </si>
  <si>
    <t>33037</t>
  </si>
  <si>
    <t>33031</t>
  </si>
  <si>
    <t>BBVV_11</t>
  </si>
  <si>
    <t>BBVV_01</t>
  </si>
  <si>
    <t>BBVV_91</t>
  </si>
  <si>
    <t>POBMUN_11</t>
  </si>
  <si>
    <t>CAT_11</t>
  </si>
  <si>
    <t>CAT_01</t>
  </si>
  <si>
    <t>CAT_91</t>
  </si>
  <si>
    <t>COD_CCAA</t>
  </si>
  <si>
    <t>COD_PROV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</si>
  <si>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</si>
  <si>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</si>
  <si>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</si>
  <si>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</si>
  <si>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</si>
  <si>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</si>
  <si>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</si>
  <si>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</si>
  <si>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</si>
  <si>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</si>
  <si>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</si>
  <si>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</si>
  <si>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</si>
  <si>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</si>
  <si>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</si>
  <si>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</si>
  <si>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</si>
  <si>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</si>
  <si>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</si>
  <si>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</si>
  <si>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</si>
  <si>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</si>
  <si>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</si>
  <si>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</si>
  <si>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</si>
  <si>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</si>
  <si>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</si>
  <si>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</si>
  <si>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</si>
  <si>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</si>
  <si>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</si>
  <si>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</si>
  <si>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</si>
  <si>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</si>
  <si>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</si>
  <si>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</si>
  <si>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</si>
  <si>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</si>
  <si>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</si>
  <si>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</si>
  <si>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</si>
  <si>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</si>
  <si>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</si>
  <si>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</si>
  <si>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</si>
  <si>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</si>
  <si>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</si>
  <si>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</si>
  <si>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</si>
  <si>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</si>
  <si>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</si>
  <si>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</si>
  <si>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COD_CAP</t>
  </si>
  <si>
    <t>Asturias</t>
  </si>
  <si>
    <t>Palmas, Las</t>
  </si>
  <si>
    <t>Castellón/Castelló</t>
  </si>
  <si>
    <t>Navarra</t>
  </si>
  <si>
    <t>Araba/Álava</t>
  </si>
  <si>
    <t>Gipuzkoa</t>
  </si>
  <si>
    <t>Bizkaia</t>
  </si>
  <si>
    <t>PORPOB_BBVV_11</t>
  </si>
  <si>
    <t>POB_BBVV_11</t>
  </si>
  <si>
    <t>ESTyVIV_BBVV11</t>
  </si>
  <si>
    <t>ESTyPARyVIV_BBVV11</t>
  </si>
  <si>
    <t>PARyVIV_BBVV11</t>
  </si>
  <si>
    <t>ESTyPAR_BBVV11</t>
  </si>
  <si>
    <t>VIV_BBVV11</t>
  </si>
  <si>
    <t>PAR_BBVV11</t>
  </si>
  <si>
    <t>EST_BBVV11</t>
  </si>
  <si>
    <t>VSyVC_BBVV11</t>
  </si>
  <si>
    <t>VSyVC_POB_BBVV11</t>
  </si>
  <si>
    <t>VSyVC_PORPOB_BBVV11</t>
  </si>
  <si>
    <t>INM_11</t>
  </si>
  <si>
    <t>POB_MUN_11</t>
  </si>
  <si>
    <t>BBINM_11</t>
  </si>
  <si>
    <t>POB_BBINM_11</t>
  </si>
  <si>
    <t>PORPOB_BBINM_11</t>
  </si>
  <si>
    <t>INM_06</t>
  </si>
  <si>
    <t>POB_MUN_06</t>
  </si>
  <si>
    <t>BBINM_06</t>
  </si>
  <si>
    <t>POB_BBINM_06</t>
  </si>
  <si>
    <t>PORPOB_BBINM_06</t>
  </si>
  <si>
    <t>POB_SSCCINM_EXTERIORES_11</t>
  </si>
  <si>
    <t>POB_SSCCVV_EXTERIORES_11</t>
  </si>
  <si>
    <t>PORPOB_SSCCVV_EXTERIORES_11</t>
  </si>
  <si>
    <t>PORPOB_SSCCINM_EXTERIORES_11</t>
  </si>
  <si>
    <t>POBMUN_01</t>
  </si>
  <si>
    <t>POB_BBVV_01</t>
  </si>
  <si>
    <t>PORPOB_BBVV_01</t>
  </si>
  <si>
    <t>POB_SSCCVV_EXTERIORES_01</t>
  </si>
  <si>
    <t>PORPOB_SSCCVV_EXTERIORES_01</t>
  </si>
  <si>
    <t>EST_BBVV01</t>
  </si>
  <si>
    <t>PAR_BBVV01</t>
  </si>
  <si>
    <t>VIV_BBVV01</t>
  </si>
  <si>
    <t>ESTyPAR_BBVV01</t>
  </si>
  <si>
    <t>PARyVIV_BBVV01</t>
  </si>
  <si>
    <t>ESTyVIV_BBVV91</t>
  </si>
  <si>
    <t>ESTyVIV_BBVV01</t>
  </si>
  <si>
    <t>ESTyPARyVIV_BBVV01</t>
  </si>
  <si>
    <t>VSyVC_BBVV01</t>
  </si>
  <si>
    <t>VSyVC_POB_BBVV01</t>
  </si>
  <si>
    <t>VSyVC_PORPOB_BBVV01</t>
  </si>
  <si>
    <t>POBMUN_91</t>
  </si>
  <si>
    <t>POB_BBVV_91</t>
  </si>
  <si>
    <t>PORPOB_BBVV_91</t>
  </si>
  <si>
    <t>EST_BBVV91</t>
  </si>
  <si>
    <t>PAR_BBVV91</t>
  </si>
  <si>
    <t>VIV_BBVV91</t>
  </si>
  <si>
    <t>ESTyPAR_BBVV91</t>
  </si>
  <si>
    <t>PARyVIV_BBVV91</t>
  </si>
  <si>
    <t>ESTyPARyVIV_BBVV91</t>
  </si>
  <si>
    <t>VSyVC_BBVV91</t>
  </si>
  <si>
    <t>VSyVC_POB_BBVV91</t>
  </si>
  <si>
    <t>VSyVC_PORPOB_BBVV91</t>
  </si>
  <si>
    <t>COMUNIDAD</t>
  </si>
  <si>
    <t>PROVINCIA</t>
  </si>
  <si>
    <t>MUNICIPIO</t>
  </si>
  <si>
    <t>LEYENDA DE LOS CÓGIDOS PRESENTES EN LA TABLA</t>
  </si>
  <si>
    <t>GRUPO DE CÓDIGOS</t>
  </si>
  <si>
    <t>DENOMINACIÓN DEL CÓDIGO</t>
  </si>
  <si>
    <t>DEFINICIÓN</t>
  </si>
  <si>
    <t>FORMATO</t>
  </si>
  <si>
    <t>DATOS GENERALES DE IDENTIFICACIÓN</t>
  </si>
  <si>
    <t>Código de la Comunidad Autónoma</t>
  </si>
  <si>
    <t>CÓDICO NUMÉRICO</t>
  </si>
  <si>
    <t>Denominación de la Comunidad Autónoma</t>
  </si>
  <si>
    <t>TEXTO</t>
  </si>
  <si>
    <t>Código de la provincia</t>
  </si>
  <si>
    <t>Denominación de la provincia</t>
  </si>
  <si>
    <t>Código del municipio</t>
  </si>
  <si>
    <t>Denominación del municipio</t>
  </si>
  <si>
    <t>NÚMERO ENTERO</t>
  </si>
  <si>
    <t>Capitalidad provincial y/o autonómica (1 en caso afirmativo)</t>
  </si>
  <si>
    <t>INDICADORES DEL CATÁLOGO DE BBVV DE 1991</t>
  </si>
  <si>
    <t>INDICADORES DEL CATÁLOGO DE BBVV DE 2001</t>
  </si>
  <si>
    <t>INDICADORES DEL CATÁLOGO DE BBVV DE 2011</t>
  </si>
  <si>
    <t>INDICADORES DEL CATÁLOGO DE BBINM DE 2006</t>
  </si>
  <si>
    <t>INDICADORES DEL CATÁLOGO DE BBINM DE 2011</t>
  </si>
  <si>
    <t>Población del municipio en 1991</t>
  </si>
  <si>
    <t>PORCENTAJE</t>
  </si>
  <si>
    <t>Población del municipio en 2001</t>
  </si>
  <si>
    <t>Número de barrios vulnerables catalogados en 2001</t>
  </si>
  <si>
    <t xml:space="preserve">Porcentaje de la población municipal que reside en los barrios vulnerables catalogados en 2001 </t>
  </si>
  <si>
    <t xml:space="preserve">Población en secciones censales vulnerables por alguno de los indicadores básicos de vulnerabilidad del catálogo pero exteriores a los barrios vulnerables catalogados en 2001 </t>
  </si>
  <si>
    <t>Porcentaje de la población municipal en secciones censales vulnerables por alguno de los indicadores básicos de vulnerabilidad del catálogo pero exteriores a los barrios vulnerables catalogados en 2001</t>
  </si>
  <si>
    <t>Número de barrios vulnerables por estudios y paro catalogados en 2001</t>
  </si>
  <si>
    <t>Número de barrios vulnerables por paro y vivienda catalogados en 2001</t>
  </si>
  <si>
    <t>Número de barrios vulnerables por estudios y vivienda catalogados en 2001</t>
  </si>
  <si>
    <t>Número de barrios vulnerables por estudios, paro y vivienda catalogados en 2001</t>
  </si>
  <si>
    <t>Número de barrios vulnerables (solo) por estudios catalogados en 2001</t>
  </si>
  <si>
    <t>Número de barrios vulnerables (solo) por paro catalogados en 2001</t>
  </si>
  <si>
    <t>Número de barrios vulnerables (solo) por vivienda catalogados en 2001</t>
  </si>
  <si>
    <t>Número de barrios vulnerables con un nivel de vulnerabilidad severa o crítica catalogados en 2001</t>
  </si>
  <si>
    <t>Población residente en barrios vulnerables con un nivel de vulnerabilidad severa o crítica catalogados en 2001</t>
  </si>
  <si>
    <t>Porcentaje de la población municipal que reside en barrios vulnerables con un nivel de vulnerabilidad severa o crítica catalogados en 2001</t>
  </si>
  <si>
    <t>Población del municipio en 2011</t>
  </si>
  <si>
    <t>Número de barrios vulnerables catalogados en 2011</t>
  </si>
  <si>
    <t xml:space="preserve">Porcentaje de la población municipal que reside en los barrios vulnerables catalogados en 2011 </t>
  </si>
  <si>
    <t xml:space="preserve">Población en secciones censales vulnerables por alguno de los indicadores básicos de vulnerabilidad del catálogo pero exteriores a los barrios vulnerables catalogados en 2011 </t>
  </si>
  <si>
    <t>Porcentaje de la población municipal en secciones censales vulnerables por alguno de los indicadores básicos de vulnerabilidad del catálogo pero exteriores a los barrios vulnerables catalogados en 2011</t>
  </si>
  <si>
    <t>Número de barrios vulnerables (solo) por estudios catalogados en 2011</t>
  </si>
  <si>
    <t>Número de barrios vulnerables (solo) por paro catalogados en 2011</t>
  </si>
  <si>
    <t>Número de barrios vulnerables (solo) por vivienda catalogados en 2011</t>
  </si>
  <si>
    <t>Número de barrios vulnerables por estudios y paro catalogados en 2011</t>
  </si>
  <si>
    <t>Número de barrios vulnerables por paro y vivienda catalogados en 2011</t>
  </si>
  <si>
    <t>Número de barrios vulnerables por estudios y vivienda catalogados en 2011</t>
  </si>
  <si>
    <t>Número de barrios vulnerables por estudios, paro y vivienda catalogados en 2011</t>
  </si>
  <si>
    <t>Número de barrios vulnerables con un nivel de vulnerabilidad severa o crítica catalogados en 2011</t>
  </si>
  <si>
    <t>Población residente en barrios vulnerables con un nivel de vulnerabilidad severa o crítica catalogados en 2011</t>
  </si>
  <si>
    <t>Porcentaje de la población municipal que reside en barrios vulnerables con un nivel de vulnerabilidad severa o crítica catalogados en 2011</t>
  </si>
  <si>
    <t>Número de barrios vulnerables catalogados en 1991</t>
  </si>
  <si>
    <t xml:space="preserve">Porcentaje de la población municipal que reside en los barrios vulnerables catalogados en 1991 </t>
  </si>
  <si>
    <t>Número de barrios vulnerables (solo) por estudios catalogados en 1991</t>
  </si>
  <si>
    <t>Número de barrios vulnerables (solo) por paro catalogados en 1991</t>
  </si>
  <si>
    <t>Número de barrios vulnerables (solo) por vivienda catalogados en 1991</t>
  </si>
  <si>
    <t>Número de barrios vulnerables por estudios y paro catalogados en 1991</t>
  </si>
  <si>
    <t>Número de barrios vulnerables por paro y vivienda catalogados en 1991</t>
  </si>
  <si>
    <t>Número de barrios vulnerables por estudios y vivienda catalogados en 1991</t>
  </si>
  <si>
    <t>Número de barrios vulnerables por estudios, paro y vivienda catalogados en 1991</t>
  </si>
  <si>
    <t>Número de barrios vulnerables con un nivel de vulnerabilidad severa o crítica catalogados en 1991</t>
  </si>
  <si>
    <t>Población residente en barrios vulnerables con un nivel de vulnerabilidad severa o crítica catalogados en 1991</t>
  </si>
  <si>
    <t>Porcentaje de la población municipal que reside en barrios vulnerables con un nivel de vulnerabilidad severa o crítica catalogados en 1991</t>
  </si>
  <si>
    <t>Pertenencia al Catálogo de Barrios Vulnerables en 1991 
(1 en caso afirmativo, solo estos municipios completarán los campos correspondientes para esta fecha)</t>
  </si>
  <si>
    <t>Pertenencia al Catálogo de Barrios Vulnerables en 2001 
(1 en caso afirmativo, solo estos municipios completarán los campos correspondientes para esta fecha)</t>
  </si>
  <si>
    <t>Pertenencia al Catálogo de Barrios Vulnerables en 2011 
(1 en caso afirmativo, solo estos municipios completarán los campos correspondientes para esta fecha)</t>
  </si>
  <si>
    <t>Pertenencia al Catálogo de Barrios de Inmigración en 2006
(1 en caso afirmativo, solo estos municipios completarán los campos correspondientes para esta fecha)</t>
  </si>
  <si>
    <t>Población del municipio en 2006</t>
  </si>
  <si>
    <t>Número de barrios de inmigración catalogados en 2006</t>
  </si>
  <si>
    <t>Población residente en barrios vulnerables catalogados en 2011</t>
  </si>
  <si>
    <t>Población residente en barrios vulnerables catalogados en 2001</t>
  </si>
  <si>
    <t>Población residente en barrios vulnerables catalogados en 1991</t>
  </si>
  <si>
    <t>Población residente en barrios de inmigración catalogados en 2006</t>
  </si>
  <si>
    <t>Porcentaje de la población municipal que reside en los barrios de inmigración catalogados en 2006</t>
  </si>
  <si>
    <t>Pertenencia al Catálogo de Barrios de Inmigración en 2011
(1 en caso afirmativo, solo estos municipios completarán los campos correspondientes para esta fecha)</t>
  </si>
  <si>
    <t>Número de barrios de inmigración catalogados en 2011</t>
  </si>
  <si>
    <t>Población residente en barrios de inmigración catalogados en 2011</t>
  </si>
  <si>
    <t>Porcentaje de la población municipal que reside en los barrios de inmigración catalogados en 2011</t>
  </si>
  <si>
    <t xml:space="preserve">Población en secciones censales que superan el indicador de referencia de inmigración pero exteriores a los barrios de Inmigración catalogados en 2011 </t>
  </si>
  <si>
    <t xml:space="preserve">Porcentaje de la población municipal en secciones censales que superan el indicador de referencia de inmigración pero exteriores a los barrios de Inmigración catalogados en 2011 </t>
  </si>
  <si>
    <t>Palma</t>
  </si>
  <si>
    <t>Castelló de la Plana</t>
  </si>
  <si>
    <t>Irun</t>
  </si>
  <si>
    <t>Donostia/San Sebastián</t>
  </si>
  <si>
    <t>Gandia</t>
  </si>
  <si>
    <t>València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</si>
</sst>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49" fontId="2" fillId="0" borderId="0" xfId="0" applyNumberFormat="1" applyFont="1"/>
    <xf numFmtId="3" fontId="2" fillId="0" borderId="0" xfId="0" applyNumberFormat="1" applyFont="1"/>
    <xf numFmtId="0" fontId="2" fillId="0" borderId="0" xfId="0" applyNumberFormat="1" applyFont="1"/>
    <xf numFmtId="0" fontId="1" fillId="2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3" fontId="2" fillId="0" borderId="0" xfId="0" applyNumberFormat="1" applyFont="1" applyFill="1"/>
    <xf numFmtId="0" fontId="2" fillId="0" borderId="0" xfId="0" applyFont="1" applyFill="1"/>
    <xf numFmtId="49" fontId="1" fillId="0" borderId="0" xfId="0" applyNumberFormat="1" applyFont="1" applyFill="1" applyAlignment="1">
      <alignment wrapText="1"/>
    </xf>
    <xf numFmtId="49" fontId="2" fillId="0" borderId="0" xfId="0" applyNumberFormat="1" applyFont="1" applyFill="1"/>
    <xf numFmtId="0" fontId="4" fillId="0" borderId="0" xfId="0" applyFont="1"/>
    <xf numFmtId="164" fontId="2" fillId="0" borderId="0" xfId="0" applyNumberFormat="1" applyFont="1" applyFill="1"/>
    <xf numFmtId="164" fontId="2" fillId="0" borderId="0" xfId="0" applyNumberFormat="1" applyFont="1"/>
    <xf numFmtId="0" fontId="2" fillId="0" borderId="0" xfId="0" applyNumberFormat="1" applyFont="1" applyFill="1"/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164" fontId="5" fillId="0" borderId="0" xfId="0" applyNumberFormat="1" applyFont="1" applyFill="1"/>
    <xf numFmtId="0" fontId="5" fillId="0" borderId="0" xfId="0" applyNumberFormat="1" applyFont="1" applyFill="1"/>
    <xf numFmtId="0" fontId="0" fillId="0" borderId="0" xfId="0" applyAlignment="1">
      <alignment wrapText="1"/>
    </xf>
    <xf numFmtId="0" fontId="8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center" wrapText="1"/>
    </xf>
    <xf numFmtId="49" fontId="6" fillId="5" borderId="12" xfId="0" applyNumberFormat="1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center" wrapText="1"/>
    </xf>
    <xf numFmtId="1" fontId="6" fillId="5" borderId="12" xfId="0" applyNumberFormat="1" applyFont="1" applyFill="1" applyBorder="1" applyAlignment="1">
      <alignment horizontal="left" vertical="top" wrapText="1"/>
    </xf>
    <xf numFmtId="0" fontId="0" fillId="0" borderId="14" xfId="0" applyBorder="1" applyAlignment="1">
      <alignment wrapText="1"/>
    </xf>
    <xf numFmtId="0" fontId="0" fillId="0" borderId="16" xfId="0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6" fillId="5" borderId="21" xfId="0" applyFont="1" applyFill="1" applyBorder="1" applyAlignment="1">
      <alignment horizontal="left" vertical="top" wrapText="1"/>
    </xf>
    <xf numFmtId="0" fontId="6" fillId="2" borderId="23" xfId="0" applyFont="1" applyFill="1" applyBorder="1" applyAlignment="1">
      <alignment wrapText="1"/>
    </xf>
    <xf numFmtId="0" fontId="6" fillId="4" borderId="12" xfId="0" applyFont="1" applyFill="1" applyBorder="1" applyAlignment="1">
      <alignment wrapText="1"/>
    </xf>
    <xf numFmtId="0" fontId="6" fillId="4" borderId="17" xfId="0" applyFont="1" applyFill="1" applyBorder="1" applyAlignment="1">
      <alignment wrapText="1"/>
    </xf>
    <xf numFmtId="0" fontId="6" fillId="5" borderId="12" xfId="0" applyFont="1" applyFill="1" applyBorder="1" applyAlignment="1">
      <alignment wrapText="1"/>
    </xf>
    <xf numFmtId="0" fontId="6" fillId="5" borderId="17" xfId="0" applyFont="1" applyFill="1" applyBorder="1" applyAlignment="1">
      <alignment wrapText="1"/>
    </xf>
    <xf numFmtId="0" fontId="6" fillId="2" borderId="26" xfId="0" applyFont="1" applyFill="1" applyBorder="1" applyAlignment="1">
      <alignment wrapText="1"/>
    </xf>
    <xf numFmtId="0" fontId="6" fillId="5" borderId="2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6" fillId="3" borderId="26" xfId="0" applyFont="1" applyFill="1" applyBorder="1" applyAlignment="1">
      <alignment wrapText="1"/>
    </xf>
    <xf numFmtId="0" fontId="6" fillId="4" borderId="27" xfId="0" applyFont="1" applyFill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BP152" totalsRowShown="0" headerRowDxfId="69" dataDxfId="68">
  <autoFilter ref="A1:BP152" xr:uid="{00000000-0009-0000-0100-000002000000}"/>
  <sortState xmlns:xlrd2="http://schemas.microsoft.com/office/spreadsheetml/2017/richdata2" ref="A2:AM152">
    <sortCondition ref="F1:F152"/>
  </sortState>
  <tableColumns count="68">
    <tableColumn id="1" xr3:uid="{00000000-0010-0000-0000-000001000000}" name="COD_CCAA" dataDxfId="67"/>
    <tableColumn id="2" xr3:uid="{00000000-0010-0000-0000-000002000000}" name="COMUNIDAD" dataDxfId="66"/>
    <tableColumn id="70" xr3:uid="{754D3D84-C1B4-4E0F-9FE4-6F44D029276B}" name="COD_PROV" dataDxfId="65"/>
    <tableColumn id="69" xr3:uid="{0A6D1209-A561-4F5D-B572-C2B2A024DEC2}" name="PROVINCIA" dataDxfId="64"/>
    <tableColumn id="71" xr3:uid="{8FA80E3C-CC10-46CC-913A-F0172EF916C0}" name="COD_CAP" dataDxfId="63"/>
    <tableColumn id="68" xr3:uid="{BB4B1FD9-3A5F-4C43-90B8-8284DEE07CC7}" name="COD_MUN" dataDxfId="62"/>
    <tableColumn id="3" xr3:uid="{00000000-0010-0000-0000-000003000000}" name="MUNICIPIO" dataDxfId="61"/>
    <tableColumn id="67" xr3:uid="{5CD3ECCB-C6EB-4B41-BDC1-716E8463EDB6}" name="CAT_91" dataDxfId="60"/>
    <tableColumn id="12" xr3:uid="{00000000-0010-0000-0000-00000C000000}" name="POBMUN_91" dataDxfId="59"/>
    <tableColumn id="13" xr3:uid="{00000000-0010-0000-0000-00000D000000}" name="BBVV_91" dataDxfId="58"/>
    <tableColumn id="14" xr3:uid="{00000000-0010-0000-0000-00000E000000}" name="POB_BBVV_91" dataDxfId="57"/>
    <tableColumn id="15" xr3:uid="{00000000-0010-0000-0000-00000F000000}" name="PORPOB_BBVV_91" dataDxfId="56"/>
    <tableColumn id="18" xr3:uid="{41D035F7-8720-4C74-905A-5EB013830425}" name="EST_BBVV91" dataDxfId="55"/>
    <tableColumn id="19" xr3:uid="{36FF633F-32A4-4D05-9F3D-E468D5A43879}" name="PAR_BBVV91" dataDxfId="54"/>
    <tableColumn id="20" xr3:uid="{2D9FC6FB-D4A7-4F0F-911C-C8556155E08C}" name="VIV_BBVV91" dataDxfId="53"/>
    <tableColumn id="21" xr3:uid="{60B2F0A1-4239-4E07-B254-0802CEB4CBB4}" name="ESTyPAR_BBVV91" dataDxfId="52"/>
    <tableColumn id="34" xr3:uid="{859EDFA5-57A8-442B-92FE-5A538363B254}" name="PARyVIV_BBVV91" dataDxfId="51"/>
    <tableColumn id="35" xr3:uid="{7E1600BE-7975-40F6-8EFF-6F8852A2B6AC}" name="ESTyVIV_BBVV91" dataDxfId="50"/>
    <tableColumn id="36" xr3:uid="{92E5E02A-B2B4-4B54-9BD5-5DAE2708476F}" name="ESTyPARyVIV_BBVV91" dataDxfId="49"/>
    <tableColumn id="37" xr3:uid="{C77EC7BC-0C79-43BE-8626-736395117FFE}" name="VSyVC_BBVV91" dataDxfId="48"/>
    <tableColumn id="38" xr3:uid="{FD336233-5E8D-4931-ACAF-3E11916B18C0}" name="VSyVC_POB_BBVV91" dataDxfId="47"/>
    <tableColumn id="39" xr3:uid="{6C51469E-9740-4FA1-BE5C-67481277E050}" name="VSyVC_PORPOB_BBVV91" dataDxfId="46"/>
    <tableColumn id="66" xr3:uid="{22886313-5D8E-4F85-B16B-0206075CF35C}" name="CAT_01" dataDxfId="45"/>
    <tableColumn id="8" xr3:uid="{00000000-0010-0000-0000-000008000000}" name="POBMUN_01" dataDxfId="44"/>
    <tableColumn id="9" xr3:uid="{00000000-0010-0000-0000-000009000000}" name="BBVV_01" dataDxfId="43"/>
    <tableColumn id="10" xr3:uid="{00000000-0010-0000-0000-00000A000000}" name="POB_BBVV_01" dataDxfId="42"/>
    <tableColumn id="11" xr3:uid="{00000000-0010-0000-0000-00000B000000}" name="PORPOB_BBVV_01" dataDxfId="41"/>
    <tableColumn id="30" xr3:uid="{2750D31F-DB04-4F4E-9FE7-143CB8F9E6AE}" name="POB_SSCCVV_EXTERIORES_01" dataDxfId="40"/>
    <tableColumn id="31" xr3:uid="{17FFCFD1-8A6A-493C-8F64-0028C08F2B1D}" name="PORPOB_SSCCVV_EXTERIORES_01" dataDxfId="39"/>
    <tableColumn id="32" xr3:uid="{554DD3D3-4310-4AAB-8B22-CFEE97EE479D}" name="EST_BBVV01" dataDxfId="38"/>
    <tableColumn id="33" xr3:uid="{B5AE44E0-0455-48F1-8AC3-0DAB9E60EC01}" name="PAR_BBVV01" dataDxfId="37"/>
    <tableColumn id="26" xr3:uid="{38E9D2BB-15DD-4CC2-9BCC-F4D2924D0E13}" name="VIV_BBVV01" dataDxfId="36"/>
    <tableColumn id="27" xr3:uid="{132D3125-858F-4571-BF92-C00A13E44330}" name="ESTyPAR_BBVV01" dataDxfId="35"/>
    <tableColumn id="28" xr3:uid="{368F6B21-DA89-4DB7-B1A2-B35BF034BF48}" name="PARyVIV_BBVV01" dataDxfId="34"/>
    <tableColumn id="29" xr3:uid="{EC2B4B1F-EEA0-4DA4-843F-FE6553BF2058}" name="ESTyVIV_BBVV01" dataDxfId="33"/>
    <tableColumn id="24" xr3:uid="{B5BB0402-4409-4916-98C2-EC25C98D0F04}" name="ESTyPARyVIV_BBVV01" dataDxfId="32"/>
    <tableColumn id="25" xr3:uid="{9AEA4965-32DD-49A7-9D26-455E42B70508}" name="VSyVC_BBVV01" dataDxfId="31"/>
    <tableColumn id="23" xr3:uid="{D8960D22-C216-42EC-BB6D-070C890EBA5E}" name="VSyVC_POB_BBVV01" dataDxfId="30"/>
    <tableColumn id="22" xr3:uid="{29AD9D70-D2CC-4E48-8D2D-F033F2E474E1}" name="VSyVC_PORPOB_BBVV01" dataDxfId="29"/>
    <tableColumn id="93" xr3:uid="{7C449AF7-D843-42F5-823B-4C6CF8791CDC}" name="INM_06" dataDxfId="28"/>
    <tableColumn id="92" xr3:uid="{99108818-1E80-4091-BD77-7555BAC71D39}" name="POB_MUN_06" dataDxfId="27"/>
    <tableColumn id="91" xr3:uid="{DDEE9DE8-4C0A-4DAA-A40F-6F8EFFA2A72B}" name="BBINM_06" dataDxfId="26"/>
    <tableColumn id="90" xr3:uid="{5D2F10AF-D84C-4FB5-968B-D3F54637B64E}" name="POB_BBINM_06" dataDxfId="25"/>
    <tableColumn id="89" xr3:uid="{44F61D30-5294-4C83-8412-1E63B8ED0D7F}" name="PORPOB_BBINM_06" dataDxfId="24"/>
    <tableColumn id="65" xr3:uid="{90A591BA-B1AE-41EF-A22E-FE3FE21C48DD}" name="CAT_11" dataDxfId="23"/>
    <tableColumn id="4" xr3:uid="{00000000-0010-0000-0000-000004000000}" name="POBMUN_11" dataDxfId="22"/>
    <tableColumn id="5" xr3:uid="{00000000-0010-0000-0000-000005000000}" name="BBVV_11" dataDxfId="21"/>
    <tableColumn id="6" xr3:uid="{00000000-0010-0000-0000-000006000000}" name="POB_BBVV_11" dataDxfId="20"/>
    <tableColumn id="7" xr3:uid="{00000000-0010-0000-0000-000007000000}" name="PORPOB_BBVV_11" dataDxfId="19"/>
    <tableColumn id="80" xr3:uid="{E50346B0-4CBB-4CCB-A9C1-6592223842CF}" name="POB_SSCCVV_EXTERIORES_11" dataDxfId="18"/>
    <tableColumn id="81" xr3:uid="{7A8B5C41-49F5-426E-87BA-43425265036D}" name="PORPOB_SSCCVV_EXTERIORES_11" dataDxfId="17"/>
    <tableColumn id="79" xr3:uid="{A5959116-DD47-47C2-84A6-BC838612DA41}" name="EST_BBVV11" dataDxfId="16"/>
    <tableColumn id="78" xr3:uid="{90E526C8-7F42-437E-878C-BBA12C6A2405}" name="PAR_BBVV11" dataDxfId="15"/>
    <tableColumn id="77" xr3:uid="{22EDE384-7E5C-4DE1-958E-825C5A8CEC16}" name="VIV_BBVV11" dataDxfId="14"/>
    <tableColumn id="76" xr3:uid="{23072221-8FA4-4F8B-8809-397AB618D7AC}" name="ESTyPAR_BBVV11" dataDxfId="13"/>
    <tableColumn id="75" xr3:uid="{BC1D7BD5-1B0D-4AA5-B786-AAA4D7D2258B}" name="PARyVIV_BBVV11" dataDxfId="12"/>
    <tableColumn id="74" xr3:uid="{FE92D291-77A4-4A1B-AD34-9E737597FED4}" name="ESTyVIV_BBVV11" dataDxfId="11"/>
    <tableColumn id="73" xr3:uid="{B77A12A6-B47F-4D76-91CA-BD203AE7591F}" name="ESTyPARyVIV_BBVV11" dataDxfId="10"/>
    <tableColumn id="82" xr3:uid="{C4DA4830-262E-4D35-9173-0604A9B28982}" name="VSyVC_BBVV11" dataDxfId="9"/>
    <tableColumn id="72" xr3:uid="{7CD4AB4E-AA35-4111-A531-2C0DEA309670}" name="VSyVC_POB_BBVV11" dataDxfId="8"/>
    <tableColumn id="83" xr3:uid="{998A942D-DD6A-46BD-8D35-7C9872BA731D}" name="VSyVC_PORPOB_BBVV11" dataDxfId="7"/>
    <tableColumn id="84" xr3:uid="{29061539-48EC-463D-810A-347B1A3C105B}" name="INM_11" dataDxfId="6"/>
    <tableColumn id="88" xr3:uid="{CF6512D5-3263-4934-8A58-9CEF53751DFC}" name="POB_MUN_11" dataDxfId="5"/>
    <tableColumn id="87" xr3:uid="{FD525C19-DEAC-45E9-8F82-DBF6C7299B4E}" name="BBINM_11" dataDxfId="4"/>
    <tableColumn id="86" xr3:uid="{F1B7003F-8621-44F8-B071-BD1208092A2C}" name="POB_BBINM_11" dataDxfId="3"/>
    <tableColumn id="85" xr3:uid="{8F97F7FC-AA23-43D5-ABE6-09882614B954}" name="PORPOB_BBINM_11" dataDxfId="2"/>
    <tableColumn id="101" xr3:uid="{E8242A45-D371-4589-A136-CFB8C8467B33}" name="POB_SSCCINM_EXTERIORES_11" dataDxfId="1"/>
    <tableColumn id="100" xr3:uid="{D21FE326-9C11-4ED3-A48E-9E8366A0D21B}" name="PORPOB_SSCCINM_EXTERIORES_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BF84-994E-4D4D-A680-44179D5A6389}">
  <dimension ref="B1:I72"/>
  <sheetViews>
    <sheetView zoomScaleNormal="100" workbookViewId="0">
      <selection activeCell="C66" sqref="C66:C72"/>
    </sheetView>
  </sheetViews>
  <sheetFormatPr baseColWidth="10" defaultRowHeight="15"/>
  <cols>
    <col min="1" max="1" width="11.42578125" style="19"/>
    <col min="2" max="2" width="23.42578125" style="19" customWidth="1"/>
    <col min="3" max="3" width="28.42578125" style="19" bestFit="1" customWidth="1"/>
    <col min="4" max="4" width="79.42578125" style="19" customWidth="1"/>
    <col min="5" max="5" width="18.5703125" style="19" customWidth="1"/>
    <col min="6" max="16384" width="11.42578125" style="19"/>
  </cols>
  <sheetData>
    <row r="1" spans="2:9" ht="15.75" thickBot="1"/>
    <row r="2" spans="2:9" ht="15.75" thickBot="1">
      <c r="B2" s="59" t="s">
        <v>441</v>
      </c>
      <c r="C2" s="60"/>
      <c r="D2" s="60"/>
      <c r="E2" s="61"/>
      <c r="F2" s="20"/>
      <c r="G2" s="20"/>
      <c r="H2" s="20"/>
      <c r="I2" s="20"/>
    </row>
    <row r="3" spans="2:9" ht="15.75" thickBot="1"/>
    <row r="4" spans="2:9" ht="15.75" thickBot="1">
      <c r="B4" s="21" t="s">
        <v>442</v>
      </c>
      <c r="C4" s="22" t="s">
        <v>443</v>
      </c>
      <c r="D4" s="21" t="s">
        <v>444</v>
      </c>
      <c r="E4" s="23" t="s">
        <v>445</v>
      </c>
    </row>
    <row r="5" spans="2:9">
      <c r="B5" s="62" t="s">
        <v>446</v>
      </c>
      <c r="C5" s="24" t="s">
        <v>322</v>
      </c>
      <c r="D5" s="25" t="s">
        <v>447</v>
      </c>
      <c r="E5" s="44" t="s">
        <v>448</v>
      </c>
    </row>
    <row r="6" spans="2:9">
      <c r="B6" s="63"/>
      <c r="C6" s="26" t="s">
        <v>438</v>
      </c>
      <c r="D6" s="27" t="s">
        <v>449</v>
      </c>
      <c r="E6" s="45" t="s">
        <v>450</v>
      </c>
    </row>
    <row r="7" spans="2:9">
      <c r="B7" s="63"/>
      <c r="C7" s="28" t="s">
        <v>323</v>
      </c>
      <c r="D7" s="27" t="s">
        <v>451</v>
      </c>
      <c r="E7" s="45" t="s">
        <v>448</v>
      </c>
    </row>
    <row r="8" spans="2:9">
      <c r="B8" s="63"/>
      <c r="C8" s="26" t="s">
        <v>439</v>
      </c>
      <c r="D8" s="29" t="s">
        <v>452</v>
      </c>
      <c r="E8" s="46" t="s">
        <v>450</v>
      </c>
    </row>
    <row r="9" spans="2:9">
      <c r="B9" s="63"/>
      <c r="C9" s="26" t="s">
        <v>376</v>
      </c>
      <c r="D9" s="29" t="s">
        <v>456</v>
      </c>
      <c r="E9" s="46" t="s">
        <v>448</v>
      </c>
    </row>
    <row r="10" spans="2:9">
      <c r="B10" s="63"/>
      <c r="C10" s="30" t="s">
        <v>0</v>
      </c>
      <c r="D10" s="29" t="s">
        <v>453</v>
      </c>
      <c r="E10" s="46" t="s">
        <v>448</v>
      </c>
    </row>
    <row r="11" spans="2:9" ht="15.75" thickBot="1">
      <c r="B11" s="64"/>
      <c r="C11" s="35" t="s">
        <v>440</v>
      </c>
      <c r="D11" s="29" t="s">
        <v>454</v>
      </c>
      <c r="E11" s="46" t="s">
        <v>450</v>
      </c>
    </row>
    <row r="12" spans="2:9" ht="15" customHeight="1">
      <c r="B12" s="65" t="s">
        <v>457</v>
      </c>
      <c r="C12" s="36" t="s">
        <v>321</v>
      </c>
      <c r="D12" s="43" t="s">
        <v>506</v>
      </c>
      <c r="E12" s="44" t="s">
        <v>448</v>
      </c>
    </row>
    <row r="13" spans="2:9">
      <c r="B13" s="66"/>
      <c r="C13" s="37" t="s">
        <v>426</v>
      </c>
      <c r="D13" s="29" t="s">
        <v>462</v>
      </c>
      <c r="E13" s="46" t="s">
        <v>455</v>
      </c>
    </row>
    <row r="14" spans="2:9">
      <c r="B14" s="66"/>
      <c r="C14" s="37" t="s">
        <v>317</v>
      </c>
      <c r="D14" s="31" t="s">
        <v>494</v>
      </c>
      <c r="E14" s="46" t="s">
        <v>455</v>
      </c>
    </row>
    <row r="15" spans="2:9">
      <c r="B15" s="66"/>
      <c r="C15" s="37" t="s">
        <v>427</v>
      </c>
      <c r="D15" s="31" t="s">
        <v>514</v>
      </c>
      <c r="E15" s="46" t="s">
        <v>455</v>
      </c>
    </row>
    <row r="16" spans="2:9" ht="30">
      <c r="B16" s="66"/>
      <c r="C16" s="37" t="s">
        <v>428</v>
      </c>
      <c r="D16" s="31" t="s">
        <v>495</v>
      </c>
      <c r="E16" s="46" t="s">
        <v>463</v>
      </c>
    </row>
    <row r="17" spans="2:5">
      <c r="B17" s="66"/>
      <c r="C17" s="37" t="s">
        <v>429</v>
      </c>
      <c r="D17" s="31" t="s">
        <v>496</v>
      </c>
      <c r="E17" s="46" t="s">
        <v>455</v>
      </c>
    </row>
    <row r="18" spans="2:5">
      <c r="B18" s="66"/>
      <c r="C18" s="37" t="s">
        <v>430</v>
      </c>
      <c r="D18" s="31" t="s">
        <v>497</v>
      </c>
      <c r="E18" s="46" t="s">
        <v>455</v>
      </c>
    </row>
    <row r="19" spans="2:5">
      <c r="B19" s="66"/>
      <c r="C19" s="37" t="s">
        <v>431</v>
      </c>
      <c r="D19" s="31" t="s">
        <v>498</v>
      </c>
      <c r="E19" s="46" t="s">
        <v>455</v>
      </c>
    </row>
    <row r="20" spans="2:5">
      <c r="B20" s="66"/>
      <c r="C20" s="37" t="s">
        <v>432</v>
      </c>
      <c r="D20" s="31" t="s">
        <v>499</v>
      </c>
      <c r="E20" s="46" t="s">
        <v>455</v>
      </c>
    </row>
    <row r="21" spans="2:5">
      <c r="B21" s="66"/>
      <c r="C21" s="37" t="s">
        <v>433</v>
      </c>
      <c r="D21" s="31" t="s">
        <v>500</v>
      </c>
      <c r="E21" s="46" t="s">
        <v>455</v>
      </c>
    </row>
    <row r="22" spans="2:5">
      <c r="B22" s="66"/>
      <c r="C22" s="37" t="s">
        <v>420</v>
      </c>
      <c r="D22" s="31" t="s">
        <v>501</v>
      </c>
      <c r="E22" s="46" t="s">
        <v>455</v>
      </c>
    </row>
    <row r="23" spans="2:5">
      <c r="B23" s="66"/>
      <c r="C23" s="37" t="s">
        <v>434</v>
      </c>
      <c r="D23" s="31" t="s">
        <v>502</v>
      </c>
      <c r="E23" s="46" t="s">
        <v>455</v>
      </c>
    </row>
    <row r="24" spans="2:5" ht="30">
      <c r="B24" s="66"/>
      <c r="C24" s="37" t="s">
        <v>435</v>
      </c>
      <c r="D24" s="31" t="s">
        <v>503</v>
      </c>
      <c r="E24" s="46" t="s">
        <v>455</v>
      </c>
    </row>
    <row r="25" spans="2:5" ht="30">
      <c r="B25" s="66"/>
      <c r="C25" s="37" t="s">
        <v>436</v>
      </c>
      <c r="D25" s="31" t="s">
        <v>504</v>
      </c>
      <c r="E25" s="46" t="s">
        <v>455</v>
      </c>
    </row>
    <row r="26" spans="2:5" ht="30.75" thickBot="1">
      <c r="B26" s="67"/>
      <c r="C26" s="38" t="s">
        <v>437</v>
      </c>
      <c r="D26" s="32" t="s">
        <v>505</v>
      </c>
      <c r="E26" s="47" t="s">
        <v>463</v>
      </c>
    </row>
    <row r="27" spans="2:5" ht="45">
      <c r="B27" s="53" t="s">
        <v>458</v>
      </c>
      <c r="C27" s="41" t="s">
        <v>320</v>
      </c>
      <c r="D27" s="43" t="s">
        <v>507</v>
      </c>
      <c r="E27" s="44" t="s">
        <v>448</v>
      </c>
    </row>
    <row r="28" spans="2:5">
      <c r="B28" s="54"/>
      <c r="C28" s="34" t="s">
        <v>410</v>
      </c>
      <c r="D28" s="29" t="s">
        <v>464</v>
      </c>
      <c r="E28" s="46" t="s">
        <v>455</v>
      </c>
    </row>
    <row r="29" spans="2:5">
      <c r="B29" s="54"/>
      <c r="C29" s="34" t="s">
        <v>316</v>
      </c>
      <c r="D29" s="31" t="s">
        <v>465</v>
      </c>
      <c r="E29" s="46" t="s">
        <v>455</v>
      </c>
    </row>
    <row r="30" spans="2:5">
      <c r="B30" s="54"/>
      <c r="C30" s="34" t="s">
        <v>411</v>
      </c>
      <c r="D30" s="31" t="s">
        <v>513</v>
      </c>
      <c r="E30" s="46" t="s">
        <v>455</v>
      </c>
    </row>
    <row r="31" spans="2:5" ht="30">
      <c r="B31" s="54"/>
      <c r="C31" s="34" t="s">
        <v>412</v>
      </c>
      <c r="D31" s="31" t="s">
        <v>466</v>
      </c>
      <c r="E31" s="46" t="s">
        <v>463</v>
      </c>
    </row>
    <row r="32" spans="2:5" ht="28.5" customHeight="1">
      <c r="B32" s="54"/>
      <c r="C32" s="34" t="s">
        <v>413</v>
      </c>
      <c r="D32" s="31" t="s">
        <v>467</v>
      </c>
      <c r="E32" s="46" t="s">
        <v>455</v>
      </c>
    </row>
    <row r="33" spans="2:5" ht="45">
      <c r="B33" s="54"/>
      <c r="C33" s="34" t="s">
        <v>414</v>
      </c>
      <c r="D33" s="31" t="s">
        <v>468</v>
      </c>
      <c r="E33" s="46" t="s">
        <v>463</v>
      </c>
    </row>
    <row r="34" spans="2:5">
      <c r="B34" s="54"/>
      <c r="C34" s="34" t="s">
        <v>415</v>
      </c>
      <c r="D34" s="31" t="s">
        <v>473</v>
      </c>
      <c r="E34" s="46" t="s">
        <v>455</v>
      </c>
    </row>
    <row r="35" spans="2:5">
      <c r="B35" s="54"/>
      <c r="C35" s="34" t="s">
        <v>416</v>
      </c>
      <c r="D35" s="31" t="s">
        <v>474</v>
      </c>
      <c r="E35" s="46" t="s">
        <v>455</v>
      </c>
    </row>
    <row r="36" spans="2:5">
      <c r="B36" s="54"/>
      <c r="C36" s="34" t="s">
        <v>417</v>
      </c>
      <c r="D36" s="31" t="s">
        <v>475</v>
      </c>
      <c r="E36" s="46" t="s">
        <v>455</v>
      </c>
    </row>
    <row r="37" spans="2:5">
      <c r="B37" s="54"/>
      <c r="C37" s="34" t="s">
        <v>418</v>
      </c>
      <c r="D37" s="31" t="s">
        <v>469</v>
      </c>
      <c r="E37" s="46" t="s">
        <v>455</v>
      </c>
    </row>
    <row r="38" spans="2:5">
      <c r="B38" s="54"/>
      <c r="C38" s="34" t="s">
        <v>419</v>
      </c>
      <c r="D38" s="31" t="s">
        <v>470</v>
      </c>
      <c r="E38" s="46" t="s">
        <v>455</v>
      </c>
    </row>
    <row r="39" spans="2:5">
      <c r="B39" s="54"/>
      <c r="C39" s="34" t="s">
        <v>421</v>
      </c>
      <c r="D39" s="31" t="s">
        <v>471</v>
      </c>
      <c r="E39" s="46" t="s">
        <v>455</v>
      </c>
    </row>
    <row r="40" spans="2:5">
      <c r="B40" s="54"/>
      <c r="C40" s="34" t="s">
        <v>422</v>
      </c>
      <c r="D40" s="31" t="s">
        <v>472</v>
      </c>
      <c r="E40" s="46" t="s">
        <v>455</v>
      </c>
    </row>
    <row r="41" spans="2:5" ht="30">
      <c r="B41" s="54"/>
      <c r="C41" s="34" t="s">
        <v>423</v>
      </c>
      <c r="D41" s="31" t="s">
        <v>476</v>
      </c>
      <c r="E41" s="46" t="s">
        <v>455</v>
      </c>
    </row>
    <row r="42" spans="2:5" ht="30">
      <c r="B42" s="54"/>
      <c r="C42" s="34" t="s">
        <v>424</v>
      </c>
      <c r="D42" s="31" t="s">
        <v>477</v>
      </c>
      <c r="E42" s="46" t="s">
        <v>455</v>
      </c>
    </row>
    <row r="43" spans="2:5" ht="30.75" thickBot="1">
      <c r="B43" s="55"/>
      <c r="C43" s="42" t="s">
        <v>425</v>
      </c>
      <c r="D43" s="50" t="s">
        <v>478</v>
      </c>
      <c r="E43" s="51" t="s">
        <v>463</v>
      </c>
    </row>
    <row r="44" spans="2:5" ht="45">
      <c r="B44" s="56" t="s">
        <v>460</v>
      </c>
      <c r="C44" s="48" t="s">
        <v>401</v>
      </c>
      <c r="D44" s="43" t="s">
        <v>509</v>
      </c>
      <c r="E44" s="44" t="s">
        <v>448</v>
      </c>
    </row>
    <row r="45" spans="2:5">
      <c r="B45" s="57"/>
      <c r="C45" s="33" t="s">
        <v>402</v>
      </c>
      <c r="D45" s="31" t="s">
        <v>510</v>
      </c>
      <c r="E45" s="46" t="s">
        <v>455</v>
      </c>
    </row>
    <row r="46" spans="2:5">
      <c r="B46" s="57"/>
      <c r="C46" s="33" t="s">
        <v>403</v>
      </c>
      <c r="D46" s="31" t="s">
        <v>511</v>
      </c>
      <c r="E46" s="46" t="s">
        <v>455</v>
      </c>
    </row>
    <row r="47" spans="2:5">
      <c r="B47" s="57"/>
      <c r="C47" s="33" t="s">
        <v>404</v>
      </c>
      <c r="D47" s="31" t="s">
        <v>515</v>
      </c>
      <c r="E47" s="46" t="s">
        <v>455</v>
      </c>
    </row>
    <row r="48" spans="2:5" ht="30.75" thickBot="1">
      <c r="B48" s="58"/>
      <c r="C48" s="49" t="s">
        <v>405</v>
      </c>
      <c r="D48" s="32" t="s">
        <v>516</v>
      </c>
      <c r="E48" s="47" t="s">
        <v>463</v>
      </c>
    </row>
    <row r="49" spans="2:5" ht="45">
      <c r="B49" s="53" t="s">
        <v>459</v>
      </c>
      <c r="C49" s="36" t="s">
        <v>319</v>
      </c>
      <c r="D49" s="52" t="s">
        <v>508</v>
      </c>
      <c r="E49" s="45" t="s">
        <v>448</v>
      </c>
    </row>
    <row r="50" spans="2:5">
      <c r="B50" s="54"/>
      <c r="C50" s="39" t="s">
        <v>318</v>
      </c>
      <c r="D50" s="29" t="s">
        <v>479</v>
      </c>
      <c r="E50" s="46" t="s">
        <v>455</v>
      </c>
    </row>
    <row r="51" spans="2:5">
      <c r="B51" s="54"/>
      <c r="C51" s="39" t="s">
        <v>315</v>
      </c>
      <c r="D51" s="31" t="s">
        <v>480</v>
      </c>
      <c r="E51" s="46" t="s">
        <v>455</v>
      </c>
    </row>
    <row r="52" spans="2:5">
      <c r="B52" s="54"/>
      <c r="C52" s="39" t="s">
        <v>385</v>
      </c>
      <c r="D52" s="31" t="s">
        <v>512</v>
      </c>
      <c r="E52" s="46" t="s">
        <v>455</v>
      </c>
    </row>
    <row r="53" spans="2:5" ht="30">
      <c r="B53" s="54"/>
      <c r="C53" s="39" t="s">
        <v>384</v>
      </c>
      <c r="D53" s="31" t="s">
        <v>481</v>
      </c>
      <c r="E53" s="46" t="s">
        <v>463</v>
      </c>
    </row>
    <row r="54" spans="2:5" ht="29.25" customHeight="1">
      <c r="B54" s="54"/>
      <c r="C54" s="39" t="s">
        <v>407</v>
      </c>
      <c r="D54" s="31" t="s">
        <v>482</v>
      </c>
      <c r="E54" s="46" t="s">
        <v>455</v>
      </c>
    </row>
    <row r="55" spans="2:5" ht="45">
      <c r="B55" s="54"/>
      <c r="C55" s="39" t="s">
        <v>408</v>
      </c>
      <c r="D55" s="31" t="s">
        <v>483</v>
      </c>
      <c r="E55" s="46" t="s">
        <v>463</v>
      </c>
    </row>
    <row r="56" spans="2:5">
      <c r="B56" s="54"/>
      <c r="C56" s="39" t="s">
        <v>392</v>
      </c>
      <c r="D56" s="31" t="s">
        <v>484</v>
      </c>
      <c r="E56" s="46" t="s">
        <v>455</v>
      </c>
    </row>
    <row r="57" spans="2:5">
      <c r="B57" s="54"/>
      <c r="C57" s="39" t="s">
        <v>391</v>
      </c>
      <c r="D57" s="31" t="s">
        <v>485</v>
      </c>
      <c r="E57" s="46" t="s">
        <v>455</v>
      </c>
    </row>
    <row r="58" spans="2:5">
      <c r="B58" s="54"/>
      <c r="C58" s="39" t="s">
        <v>390</v>
      </c>
      <c r="D58" s="31" t="s">
        <v>486</v>
      </c>
      <c r="E58" s="46" t="s">
        <v>455</v>
      </c>
    </row>
    <row r="59" spans="2:5">
      <c r="B59" s="54"/>
      <c r="C59" s="39" t="s">
        <v>389</v>
      </c>
      <c r="D59" s="31" t="s">
        <v>487</v>
      </c>
      <c r="E59" s="46" t="s">
        <v>455</v>
      </c>
    </row>
    <row r="60" spans="2:5">
      <c r="B60" s="54"/>
      <c r="C60" s="39" t="s">
        <v>388</v>
      </c>
      <c r="D60" s="31" t="s">
        <v>488</v>
      </c>
      <c r="E60" s="46" t="s">
        <v>455</v>
      </c>
    </row>
    <row r="61" spans="2:5">
      <c r="B61" s="54"/>
      <c r="C61" s="39" t="s">
        <v>386</v>
      </c>
      <c r="D61" s="31" t="s">
        <v>489</v>
      </c>
      <c r="E61" s="46" t="s">
        <v>455</v>
      </c>
    </row>
    <row r="62" spans="2:5">
      <c r="B62" s="54"/>
      <c r="C62" s="39" t="s">
        <v>387</v>
      </c>
      <c r="D62" s="31" t="s">
        <v>490</v>
      </c>
      <c r="E62" s="46" t="s">
        <v>455</v>
      </c>
    </row>
    <row r="63" spans="2:5" ht="30">
      <c r="B63" s="54"/>
      <c r="C63" s="39" t="s">
        <v>393</v>
      </c>
      <c r="D63" s="31" t="s">
        <v>491</v>
      </c>
      <c r="E63" s="46" t="s">
        <v>455</v>
      </c>
    </row>
    <row r="64" spans="2:5" ht="30">
      <c r="B64" s="54"/>
      <c r="C64" s="39" t="s">
        <v>394</v>
      </c>
      <c r="D64" s="31" t="s">
        <v>492</v>
      </c>
      <c r="E64" s="46" t="s">
        <v>455</v>
      </c>
    </row>
    <row r="65" spans="2:5" ht="30.75" thickBot="1">
      <c r="B65" s="55"/>
      <c r="C65" s="40" t="s">
        <v>395</v>
      </c>
      <c r="D65" s="50" t="s">
        <v>493</v>
      </c>
      <c r="E65" s="51" t="s">
        <v>463</v>
      </c>
    </row>
    <row r="66" spans="2:5" ht="45">
      <c r="B66" s="56" t="s">
        <v>461</v>
      </c>
      <c r="C66" s="48" t="s">
        <v>396</v>
      </c>
      <c r="D66" s="43" t="s">
        <v>517</v>
      </c>
      <c r="E66" s="44" t="s">
        <v>448</v>
      </c>
    </row>
    <row r="67" spans="2:5">
      <c r="B67" s="57"/>
      <c r="C67" s="33" t="s">
        <v>397</v>
      </c>
      <c r="D67" s="31" t="s">
        <v>479</v>
      </c>
      <c r="E67" s="46" t="s">
        <v>455</v>
      </c>
    </row>
    <row r="68" spans="2:5">
      <c r="B68" s="57"/>
      <c r="C68" s="33" t="s">
        <v>398</v>
      </c>
      <c r="D68" s="31" t="s">
        <v>518</v>
      </c>
      <c r="E68" s="46" t="s">
        <v>455</v>
      </c>
    </row>
    <row r="69" spans="2:5">
      <c r="B69" s="57"/>
      <c r="C69" s="33" t="s">
        <v>399</v>
      </c>
      <c r="D69" s="31" t="s">
        <v>519</v>
      </c>
      <c r="E69" s="46" t="s">
        <v>455</v>
      </c>
    </row>
    <row r="70" spans="2:5" ht="30">
      <c r="B70" s="57"/>
      <c r="C70" s="33" t="s">
        <v>400</v>
      </c>
      <c r="D70" s="31" t="s">
        <v>520</v>
      </c>
      <c r="E70" s="46" t="s">
        <v>463</v>
      </c>
    </row>
    <row r="71" spans="2:5" ht="26.25" customHeight="1">
      <c r="B71" s="57"/>
      <c r="C71" s="33" t="s">
        <v>406</v>
      </c>
      <c r="D71" s="31" t="s">
        <v>521</v>
      </c>
      <c r="E71" s="46" t="s">
        <v>455</v>
      </c>
    </row>
    <row r="72" spans="2:5" ht="45.75" thickBot="1">
      <c r="B72" s="58"/>
      <c r="C72" s="49" t="s">
        <v>409</v>
      </c>
      <c r="D72" s="32" t="s">
        <v>522</v>
      </c>
      <c r="E72" s="47" t="s">
        <v>463</v>
      </c>
    </row>
  </sheetData>
  <mergeCells count="7">
    <mergeCell ref="B49:B65"/>
    <mergeCell ref="B44:B48"/>
    <mergeCell ref="B66:B72"/>
    <mergeCell ref="B2:E2"/>
    <mergeCell ref="B5:B11"/>
    <mergeCell ref="B12:B26"/>
    <mergeCell ref="B27:B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52"/>
  <sheetViews>
    <sheetView tabSelected="1" zoomScaleNormal="100" workbookViewId="0">
      <pane xSplit="7" ySplit="1" topLeftCell="H2" activePane="bottomRight" state="frozen"/>
      <selection pane="topRight" activeCell="D1" sqref="D1"/>
      <selection pane="bottomLeft" activeCell="A2" sqref="A2"/>
      <selection pane="bottomRight" activeCell="AS2" sqref="AS2:BI152"/>
    </sheetView>
  </sheetViews>
  <sheetFormatPr baseColWidth="10" defaultRowHeight="15"/>
  <cols>
    <col min="1" max="1" width="4.5703125" style="10" customWidth="1"/>
    <col min="2" max="2" width="14.5703125" style="8" customWidth="1"/>
    <col min="3" max="3" width="5" style="8" customWidth="1"/>
    <col min="4" max="4" width="15.7109375" style="8" customWidth="1"/>
    <col min="5" max="5" width="2.5703125" style="8" customWidth="1"/>
    <col min="6" max="6" width="7" style="8" customWidth="1"/>
    <col min="7" max="7" width="29.140625" style="8" customWidth="1"/>
    <col min="8" max="8" width="4.7109375" customWidth="1"/>
    <col min="9" max="9" width="10.7109375" style="8" customWidth="1"/>
    <col min="10" max="10" width="6.7109375" style="8" customWidth="1"/>
    <col min="11" max="11" width="8.7109375" style="8" customWidth="1"/>
    <col min="12" max="12" width="8.28515625" style="8" customWidth="1"/>
    <col min="13" max="19" width="5.7109375" style="8" customWidth="1"/>
    <col min="20" max="22" width="8.7109375" style="8" customWidth="1"/>
    <col min="23" max="23" width="4.7109375" customWidth="1"/>
    <col min="24" max="24" width="10.7109375" style="8" customWidth="1"/>
    <col min="25" max="25" width="6.7109375" style="8" customWidth="1"/>
    <col min="26" max="26" width="8.7109375" style="8" customWidth="1"/>
    <col min="27" max="27" width="8.28515625" style="8" customWidth="1"/>
    <col min="28" max="29" width="8.7109375" customWidth="1"/>
    <col min="30" max="36" width="5.7109375" customWidth="1"/>
    <col min="37" max="39" width="8.7109375" style="8" customWidth="1"/>
    <col min="40" max="40" width="4.7109375" style="8" customWidth="1"/>
    <col min="41" max="41" width="10.7109375" style="8" customWidth="1"/>
    <col min="42" max="42" width="6.7109375" style="8" customWidth="1"/>
    <col min="43" max="43" width="9.42578125" style="8" customWidth="1"/>
    <col min="44" max="44" width="8.28515625" style="8" customWidth="1"/>
    <col min="45" max="45" width="4.7109375" customWidth="1"/>
    <col min="46" max="46" width="10.7109375" style="8" customWidth="1"/>
    <col min="47" max="47" width="6.7109375" style="8" customWidth="1"/>
    <col min="48" max="48" width="8.7109375" style="8" customWidth="1"/>
    <col min="49" max="49" width="8.28515625" style="8" customWidth="1"/>
    <col min="50" max="51" width="8.7109375" customWidth="1"/>
    <col min="52" max="58" width="5.7109375" customWidth="1"/>
    <col min="59" max="61" width="8.7109375" style="8" customWidth="1"/>
    <col min="62" max="62" width="4.7109375" style="8" customWidth="1"/>
    <col min="63" max="63" width="10.7109375" style="8" customWidth="1"/>
    <col min="64" max="64" width="6.7109375" style="8" customWidth="1"/>
    <col min="65" max="65" width="10.85546875" style="8" bestFit="1" customWidth="1"/>
    <col min="66" max="66" width="8.28515625" style="8" customWidth="1"/>
    <col min="67" max="68" width="8.7109375" customWidth="1"/>
    <col min="69" max="71" width="8.7109375" style="8" customWidth="1"/>
    <col min="79" max="79" width="4.7109375" style="1" customWidth="1"/>
    <col min="80" max="80" width="10.7109375" style="8" customWidth="1"/>
    <col min="81" max="81" width="6.7109375" style="8" customWidth="1"/>
    <col min="82" max="82" width="8.7109375" style="8" customWidth="1"/>
    <col min="83" max="83" width="8.28515625" style="8" customWidth="1"/>
    <col min="84" max="85" width="8.7109375" style="8" customWidth="1"/>
    <col min="86" max="92" width="5.7109375" style="8" customWidth="1"/>
    <col min="93" max="95" width="8.7109375" style="8" customWidth="1"/>
    <col min="111" max="16384" width="11.42578125" style="1"/>
  </cols>
  <sheetData>
    <row r="1" spans="1:110" s="6" customFormat="1" ht="75" customHeight="1">
      <c r="A1" s="9" t="s">
        <v>322</v>
      </c>
      <c r="B1" s="6" t="s">
        <v>438</v>
      </c>
      <c r="C1" s="6" t="s">
        <v>323</v>
      </c>
      <c r="D1" s="6" t="s">
        <v>439</v>
      </c>
      <c r="E1" s="6" t="s">
        <v>376</v>
      </c>
      <c r="F1" s="6" t="s">
        <v>0</v>
      </c>
      <c r="G1" s="6" t="s">
        <v>440</v>
      </c>
      <c r="H1" s="5" t="s">
        <v>321</v>
      </c>
      <c r="I1" s="16" t="s">
        <v>426</v>
      </c>
      <c r="J1" s="16" t="s">
        <v>317</v>
      </c>
      <c r="K1" s="16" t="s">
        <v>427</v>
      </c>
      <c r="L1" s="16" t="s">
        <v>428</v>
      </c>
      <c r="M1" s="16" t="s">
        <v>429</v>
      </c>
      <c r="N1" s="16" t="s">
        <v>430</v>
      </c>
      <c r="O1" s="16" t="s">
        <v>431</v>
      </c>
      <c r="P1" s="16" t="s">
        <v>432</v>
      </c>
      <c r="Q1" s="16" t="s">
        <v>433</v>
      </c>
      <c r="R1" s="16" t="s">
        <v>420</v>
      </c>
      <c r="S1" s="16" t="s">
        <v>434</v>
      </c>
      <c r="T1" s="16" t="s">
        <v>435</v>
      </c>
      <c r="U1" s="16" t="s">
        <v>436</v>
      </c>
      <c r="V1" s="16" t="s">
        <v>437</v>
      </c>
      <c r="W1" s="5" t="s">
        <v>320</v>
      </c>
      <c r="X1" s="6" t="s">
        <v>410</v>
      </c>
      <c r="Y1" s="6" t="s">
        <v>316</v>
      </c>
      <c r="Z1" s="6" t="s">
        <v>411</v>
      </c>
      <c r="AA1" s="6" t="s">
        <v>412</v>
      </c>
      <c r="AB1" s="6" t="s">
        <v>413</v>
      </c>
      <c r="AC1" s="6" t="s">
        <v>414</v>
      </c>
      <c r="AD1" s="6" t="s">
        <v>415</v>
      </c>
      <c r="AE1" s="6" t="s">
        <v>416</v>
      </c>
      <c r="AF1" s="6" t="s">
        <v>417</v>
      </c>
      <c r="AG1" s="6" t="s">
        <v>418</v>
      </c>
      <c r="AH1" s="6" t="s">
        <v>419</v>
      </c>
      <c r="AI1" s="6" t="s">
        <v>421</v>
      </c>
      <c r="AJ1" s="6" t="s">
        <v>422</v>
      </c>
      <c r="AK1" s="6" t="s">
        <v>423</v>
      </c>
      <c r="AL1" s="6" t="s">
        <v>424</v>
      </c>
      <c r="AM1" s="6" t="s">
        <v>425</v>
      </c>
      <c r="AN1" s="15" t="s">
        <v>401</v>
      </c>
      <c r="AO1" s="16" t="s">
        <v>402</v>
      </c>
      <c r="AP1" s="16" t="s">
        <v>403</v>
      </c>
      <c r="AQ1" s="16" t="s">
        <v>404</v>
      </c>
      <c r="AR1" s="16" t="s">
        <v>405</v>
      </c>
      <c r="AS1" s="5" t="s">
        <v>319</v>
      </c>
      <c r="AT1" s="6" t="s">
        <v>318</v>
      </c>
      <c r="AU1" s="6" t="s">
        <v>315</v>
      </c>
      <c r="AV1" s="6" t="s">
        <v>385</v>
      </c>
      <c r="AW1" s="6" t="s">
        <v>384</v>
      </c>
      <c r="AX1" s="6" t="s">
        <v>407</v>
      </c>
      <c r="AY1" s="6" t="s">
        <v>408</v>
      </c>
      <c r="AZ1" s="6" t="s">
        <v>392</v>
      </c>
      <c r="BA1" s="6" t="s">
        <v>391</v>
      </c>
      <c r="BB1" s="6" t="s">
        <v>390</v>
      </c>
      <c r="BC1" s="6" t="s">
        <v>389</v>
      </c>
      <c r="BD1" s="6" t="s">
        <v>388</v>
      </c>
      <c r="BE1" s="6" t="s">
        <v>386</v>
      </c>
      <c r="BF1" s="6" t="s">
        <v>387</v>
      </c>
      <c r="BG1" s="6" t="s">
        <v>393</v>
      </c>
      <c r="BH1" s="6" t="s">
        <v>394</v>
      </c>
      <c r="BI1" s="6" t="s">
        <v>395</v>
      </c>
      <c r="BJ1" s="15" t="s">
        <v>396</v>
      </c>
      <c r="BK1" s="16" t="s">
        <v>397</v>
      </c>
      <c r="BL1" s="16" t="s">
        <v>398</v>
      </c>
      <c r="BM1" s="16" t="s">
        <v>399</v>
      </c>
      <c r="BN1" s="16" t="s">
        <v>400</v>
      </c>
      <c r="BO1" s="16" t="s">
        <v>406</v>
      </c>
      <c r="BP1" s="16" t="s">
        <v>409</v>
      </c>
    </row>
    <row r="2" spans="1:110">
      <c r="A2" s="10" t="s">
        <v>339</v>
      </c>
      <c r="B2" s="8" t="s">
        <v>161</v>
      </c>
      <c r="C2" s="8" t="s">
        <v>324</v>
      </c>
      <c r="D2" t="s">
        <v>381</v>
      </c>
      <c r="E2" s="8">
        <v>1</v>
      </c>
      <c r="F2" s="10" t="s">
        <v>310</v>
      </c>
      <c r="G2" s="8" t="s">
        <v>152</v>
      </c>
      <c r="H2" s="4">
        <v>1</v>
      </c>
      <c r="I2" s="7">
        <v>206116</v>
      </c>
      <c r="J2" s="8">
        <v>1</v>
      </c>
      <c r="K2" s="7">
        <v>3619</v>
      </c>
      <c r="L2" s="12">
        <v>1.7600000000000001E-2</v>
      </c>
      <c r="M2" s="18">
        <v>0</v>
      </c>
      <c r="N2" s="18">
        <v>1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7">
        <v>0</v>
      </c>
      <c r="V2" s="17">
        <v>0</v>
      </c>
      <c r="W2" s="4">
        <v>1</v>
      </c>
      <c r="X2" s="7">
        <v>216852</v>
      </c>
      <c r="Y2" s="8">
        <v>2</v>
      </c>
      <c r="Z2" s="7">
        <v>12452</v>
      </c>
      <c r="AA2" s="12">
        <v>5.7421651633372067E-2</v>
      </c>
      <c r="AB2" s="7">
        <v>11423</v>
      </c>
      <c r="AC2" s="12">
        <v>5.2676479811115416E-2</v>
      </c>
      <c r="AD2" s="14">
        <v>0</v>
      </c>
      <c r="AE2" s="14">
        <v>0</v>
      </c>
      <c r="AF2" s="14">
        <v>2</v>
      </c>
      <c r="AG2" s="14">
        <v>0</v>
      </c>
      <c r="AH2" s="14">
        <v>0</v>
      </c>
      <c r="AI2" s="14">
        <v>0</v>
      </c>
      <c r="AJ2" s="14">
        <v>0</v>
      </c>
      <c r="AK2" s="18">
        <v>0</v>
      </c>
      <c r="AL2" s="7">
        <v>0</v>
      </c>
      <c r="AM2" s="17">
        <v>0</v>
      </c>
      <c r="AN2" s="4">
        <v>1</v>
      </c>
      <c r="AO2" s="7">
        <v>227568</v>
      </c>
      <c r="AP2" s="8">
        <v>0</v>
      </c>
      <c r="AQ2" s="7">
        <v>0</v>
      </c>
      <c r="AR2" s="12">
        <v>0</v>
      </c>
      <c r="AS2" s="4">
        <v>1</v>
      </c>
      <c r="AT2" s="7">
        <v>240753</v>
      </c>
      <c r="AU2" s="8">
        <v>4</v>
      </c>
      <c r="AV2" s="7">
        <v>23960</v>
      </c>
      <c r="AW2" s="12">
        <v>9.9521085926239761E-2</v>
      </c>
      <c r="AX2" s="7">
        <v>9700</v>
      </c>
      <c r="AY2" s="12">
        <v>4.0290255988502742E-2</v>
      </c>
      <c r="AZ2" s="14">
        <v>1</v>
      </c>
      <c r="BA2" s="14">
        <v>0</v>
      </c>
      <c r="BB2" s="14">
        <v>3</v>
      </c>
      <c r="BC2" s="14">
        <v>0</v>
      </c>
      <c r="BD2" s="14">
        <v>0</v>
      </c>
      <c r="BE2" s="14">
        <v>0</v>
      </c>
      <c r="BF2" s="14">
        <v>0</v>
      </c>
      <c r="BG2" s="18">
        <v>0</v>
      </c>
      <c r="BH2" s="7">
        <v>0</v>
      </c>
      <c r="BI2" s="17">
        <v>0</v>
      </c>
      <c r="BJ2" s="1">
        <v>1</v>
      </c>
      <c r="BK2" s="7">
        <v>240753</v>
      </c>
      <c r="BL2" s="8">
        <v>2</v>
      </c>
      <c r="BM2" s="7">
        <v>17965</v>
      </c>
      <c r="BN2" s="12">
        <v>7.4620046271489868E-2</v>
      </c>
      <c r="BO2" s="7">
        <v>16925</v>
      </c>
      <c r="BP2" s="12">
        <v>7.0300000000000001E-2</v>
      </c>
      <c r="BQ2" s="1"/>
      <c r="BR2" s="1"/>
      <c r="BS2" s="1"/>
      <c r="BT2" s="1"/>
      <c r="BU2" s="1"/>
      <c r="BV2" s="1"/>
      <c r="BW2" s="1"/>
      <c r="BX2" s="1"/>
      <c r="BY2" s="1"/>
      <c r="BZ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0">
      <c r="A3" s="10" t="s">
        <v>331</v>
      </c>
      <c r="B3" s="8" t="s">
        <v>70</v>
      </c>
      <c r="C3" s="8" t="s">
        <v>325</v>
      </c>
      <c r="D3" s="8" t="s">
        <v>51</v>
      </c>
      <c r="E3" s="8">
        <v>1</v>
      </c>
      <c r="F3" s="10" t="s">
        <v>211</v>
      </c>
      <c r="G3" s="8" t="s">
        <v>51</v>
      </c>
      <c r="H3" s="4">
        <v>1</v>
      </c>
      <c r="I3" s="7">
        <v>130023</v>
      </c>
      <c r="J3" s="8">
        <v>2</v>
      </c>
      <c r="K3" s="7">
        <v>7461</v>
      </c>
      <c r="L3" s="12">
        <v>5.74E-2</v>
      </c>
      <c r="M3" s="18">
        <v>1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1</v>
      </c>
      <c r="T3" s="18">
        <v>1</v>
      </c>
      <c r="U3" s="7">
        <v>3397</v>
      </c>
      <c r="V3" s="17">
        <v>2.6126146912469332E-2</v>
      </c>
      <c r="W3" s="4">
        <v>1</v>
      </c>
      <c r="X3" s="7">
        <v>148934</v>
      </c>
      <c r="Y3" s="8">
        <v>2</v>
      </c>
      <c r="Z3" s="7">
        <v>11933</v>
      </c>
      <c r="AA3" s="12">
        <v>8.0122738931338713E-2</v>
      </c>
      <c r="AB3" s="7">
        <v>13192</v>
      </c>
      <c r="AC3" s="12">
        <v>8.8576147823868287E-2</v>
      </c>
      <c r="AD3" s="14">
        <v>0</v>
      </c>
      <c r="AE3" s="14">
        <v>0</v>
      </c>
      <c r="AF3" s="14">
        <v>1</v>
      </c>
      <c r="AG3" s="14">
        <v>1</v>
      </c>
      <c r="AH3" s="14">
        <v>0</v>
      </c>
      <c r="AI3" s="14">
        <v>0</v>
      </c>
      <c r="AJ3" s="14">
        <v>0</v>
      </c>
      <c r="AK3" s="18">
        <v>1</v>
      </c>
      <c r="AL3" s="7">
        <v>4643</v>
      </c>
      <c r="AM3" s="17">
        <v>3.117488283400701E-2</v>
      </c>
      <c r="AN3" s="4">
        <v>1</v>
      </c>
      <c r="AO3" s="7">
        <v>161508</v>
      </c>
      <c r="AP3" s="8">
        <v>0</v>
      </c>
      <c r="AQ3" s="7">
        <v>0</v>
      </c>
      <c r="AR3" s="12">
        <v>0</v>
      </c>
      <c r="AS3" s="4">
        <v>1</v>
      </c>
      <c r="AT3" s="7">
        <v>171999</v>
      </c>
      <c r="AU3" s="8">
        <v>5</v>
      </c>
      <c r="AV3" s="7">
        <v>21395</v>
      </c>
      <c r="AW3" s="12">
        <v>0.12439025808289583</v>
      </c>
      <c r="AX3" s="7">
        <v>26120</v>
      </c>
      <c r="AY3" s="12">
        <v>0.15186134803109319</v>
      </c>
      <c r="AZ3" s="14">
        <v>1</v>
      </c>
      <c r="BA3" s="14">
        <v>2</v>
      </c>
      <c r="BB3" s="14">
        <v>2</v>
      </c>
      <c r="BC3" s="14">
        <v>0</v>
      </c>
      <c r="BD3" s="14">
        <v>0</v>
      </c>
      <c r="BE3" s="14">
        <v>0</v>
      </c>
      <c r="BF3" s="14">
        <v>0</v>
      </c>
      <c r="BG3" s="18">
        <v>0</v>
      </c>
      <c r="BH3" s="7">
        <v>0</v>
      </c>
      <c r="BI3" s="17">
        <v>0</v>
      </c>
      <c r="BJ3" s="1">
        <v>1</v>
      </c>
      <c r="BK3" s="7">
        <v>171999</v>
      </c>
      <c r="BL3" s="8">
        <v>2</v>
      </c>
      <c r="BM3" s="7">
        <v>14780</v>
      </c>
      <c r="BN3" s="12">
        <v>8.5930732155419506E-2</v>
      </c>
      <c r="BO3" s="7">
        <v>4755</v>
      </c>
      <c r="BP3" s="12">
        <v>2.76E-2</v>
      </c>
      <c r="BQ3" s="1"/>
      <c r="BR3" s="1"/>
      <c r="BS3" s="1"/>
      <c r="BT3" s="1"/>
      <c r="BU3" s="1"/>
      <c r="BV3" s="1"/>
      <c r="BW3" s="1"/>
      <c r="BX3" s="1"/>
      <c r="BY3" s="1"/>
      <c r="BZ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0">
      <c r="A4" s="10" t="s">
        <v>333</v>
      </c>
      <c r="B4" s="8" t="s">
        <v>135</v>
      </c>
      <c r="C4" s="8" t="s">
        <v>326</v>
      </c>
      <c r="D4" s="8" t="s">
        <v>99</v>
      </c>
      <c r="F4" s="10" t="s">
        <v>251</v>
      </c>
      <c r="G4" s="8" t="s">
        <v>98</v>
      </c>
      <c r="H4" s="4">
        <v>1</v>
      </c>
      <c r="I4" s="7">
        <v>65514</v>
      </c>
      <c r="J4" s="8">
        <v>2</v>
      </c>
      <c r="K4" s="7">
        <v>13877</v>
      </c>
      <c r="L4" s="12">
        <v>0.21179999999999999</v>
      </c>
      <c r="M4" s="18">
        <v>0</v>
      </c>
      <c r="N4" s="18">
        <v>1</v>
      </c>
      <c r="O4" s="18">
        <v>0</v>
      </c>
      <c r="P4" s="18">
        <v>0</v>
      </c>
      <c r="Q4" s="18">
        <v>1</v>
      </c>
      <c r="R4" s="18">
        <v>0</v>
      </c>
      <c r="S4" s="18">
        <v>0</v>
      </c>
      <c r="T4" s="18">
        <v>0</v>
      </c>
      <c r="U4" s="7">
        <v>0</v>
      </c>
      <c r="V4" s="17">
        <v>0</v>
      </c>
      <c r="W4" s="4">
        <v>1</v>
      </c>
      <c r="X4" s="7">
        <v>58358</v>
      </c>
      <c r="Y4" s="8">
        <v>3</v>
      </c>
      <c r="Z4" s="7">
        <v>16245</v>
      </c>
      <c r="AA4" s="12">
        <v>0.27836800438671649</v>
      </c>
      <c r="AB4" s="7">
        <v>780</v>
      </c>
      <c r="AC4" s="12">
        <v>1.3365776757256932E-2</v>
      </c>
      <c r="AD4" s="14">
        <v>1</v>
      </c>
      <c r="AE4" s="14">
        <v>0</v>
      </c>
      <c r="AF4" s="14">
        <v>2</v>
      </c>
      <c r="AG4" s="14">
        <v>0</v>
      </c>
      <c r="AH4" s="14">
        <v>0</v>
      </c>
      <c r="AI4" s="14">
        <v>0</v>
      </c>
      <c r="AJ4" s="14">
        <v>0</v>
      </c>
      <c r="AK4" s="18">
        <v>0</v>
      </c>
      <c r="AL4" s="7">
        <v>0</v>
      </c>
      <c r="AM4" s="17">
        <v>0</v>
      </c>
      <c r="AN4" s="4">
        <v>1</v>
      </c>
      <c r="AO4" s="7">
        <v>60590</v>
      </c>
      <c r="AP4" s="8">
        <v>0</v>
      </c>
      <c r="AQ4" s="7">
        <v>0</v>
      </c>
      <c r="AR4" s="12">
        <v>0</v>
      </c>
      <c r="AS4" s="4">
        <v>1</v>
      </c>
      <c r="AT4" s="7">
        <v>60716</v>
      </c>
      <c r="AU4" s="8">
        <v>3</v>
      </c>
      <c r="AV4" s="7">
        <v>27655</v>
      </c>
      <c r="AW4" s="12">
        <v>0.45548125699980235</v>
      </c>
      <c r="AX4" s="7">
        <v>7430</v>
      </c>
      <c r="AY4" s="12">
        <v>0.12237301535015482</v>
      </c>
      <c r="AZ4" s="14">
        <v>1</v>
      </c>
      <c r="BA4" s="14">
        <v>1</v>
      </c>
      <c r="BB4" s="14">
        <v>1</v>
      </c>
      <c r="BC4" s="14">
        <v>0</v>
      </c>
      <c r="BD4" s="14">
        <v>0</v>
      </c>
      <c r="BE4" s="14">
        <v>0</v>
      </c>
      <c r="BF4" s="14">
        <v>0</v>
      </c>
      <c r="BG4" s="18">
        <v>0</v>
      </c>
      <c r="BH4" s="7">
        <v>0</v>
      </c>
      <c r="BI4" s="17">
        <v>0</v>
      </c>
      <c r="BJ4" s="1">
        <v>1</v>
      </c>
      <c r="BK4" s="7">
        <v>60716</v>
      </c>
      <c r="BL4" s="8">
        <v>0</v>
      </c>
      <c r="BM4" s="7">
        <v>0</v>
      </c>
      <c r="BN4" s="12">
        <v>0</v>
      </c>
      <c r="BO4" s="7">
        <v>1355</v>
      </c>
      <c r="BP4" s="12">
        <v>2.23E-2</v>
      </c>
      <c r="BQ4" s="1"/>
      <c r="BR4" s="1"/>
      <c r="BS4" s="1"/>
      <c r="BT4" s="1"/>
      <c r="BU4" s="1"/>
      <c r="BV4" s="1"/>
      <c r="BW4" s="1"/>
      <c r="BX4" s="1"/>
      <c r="BY4" s="1"/>
      <c r="BZ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0">
      <c r="A5" s="10" t="s">
        <v>333</v>
      </c>
      <c r="B5" s="8" t="s">
        <v>135</v>
      </c>
      <c r="C5" s="8" t="s">
        <v>326</v>
      </c>
      <c r="D5" s="8" t="s">
        <v>99</v>
      </c>
      <c r="E5" s="8">
        <v>1</v>
      </c>
      <c r="F5" s="10" t="s">
        <v>252</v>
      </c>
      <c r="G5" s="8" t="s">
        <v>99</v>
      </c>
      <c r="H5" s="4">
        <v>1</v>
      </c>
      <c r="I5" s="7">
        <v>265473</v>
      </c>
      <c r="J5" s="8">
        <v>4</v>
      </c>
      <c r="K5" s="7">
        <v>23788</v>
      </c>
      <c r="L5" s="12">
        <v>8.9599999999999999E-2</v>
      </c>
      <c r="M5" s="18">
        <v>0</v>
      </c>
      <c r="N5" s="18">
        <v>1</v>
      </c>
      <c r="O5" s="18">
        <v>1</v>
      </c>
      <c r="P5" s="18">
        <v>1</v>
      </c>
      <c r="Q5" s="18">
        <v>1</v>
      </c>
      <c r="R5" s="18">
        <v>0</v>
      </c>
      <c r="S5" s="18">
        <v>0</v>
      </c>
      <c r="T5" s="18">
        <v>0</v>
      </c>
      <c r="U5" s="7">
        <v>0</v>
      </c>
      <c r="V5" s="17">
        <v>0</v>
      </c>
      <c r="W5" s="4">
        <v>1</v>
      </c>
      <c r="X5" s="7">
        <v>284580</v>
      </c>
      <c r="Y5" s="8">
        <v>6</v>
      </c>
      <c r="Z5" s="7">
        <v>39220</v>
      </c>
      <c r="AA5" s="12">
        <v>0.13781713402206761</v>
      </c>
      <c r="AB5" s="7">
        <v>22357</v>
      </c>
      <c r="AC5" s="12">
        <v>7.8561388713191363E-2</v>
      </c>
      <c r="AD5" s="14">
        <v>3</v>
      </c>
      <c r="AE5" s="14">
        <v>0</v>
      </c>
      <c r="AF5" s="14">
        <v>1</v>
      </c>
      <c r="AG5" s="14">
        <v>2</v>
      </c>
      <c r="AH5" s="14">
        <v>0</v>
      </c>
      <c r="AI5" s="14">
        <v>0</v>
      </c>
      <c r="AJ5" s="14">
        <v>0</v>
      </c>
      <c r="AK5" s="18">
        <v>0</v>
      </c>
      <c r="AL5" s="7">
        <v>0</v>
      </c>
      <c r="AM5" s="17">
        <v>0</v>
      </c>
      <c r="AN5" s="4">
        <v>1</v>
      </c>
      <c r="AO5" s="7">
        <v>322431</v>
      </c>
      <c r="AP5" s="8">
        <v>0</v>
      </c>
      <c r="AQ5" s="7">
        <v>0</v>
      </c>
      <c r="AR5" s="12">
        <v>0</v>
      </c>
      <c r="AS5" s="4">
        <v>1</v>
      </c>
      <c r="AT5" s="7">
        <v>329325</v>
      </c>
      <c r="AU5" s="8">
        <v>21</v>
      </c>
      <c r="AV5" s="7">
        <v>120625</v>
      </c>
      <c r="AW5" s="12">
        <v>0.3662795111212328</v>
      </c>
      <c r="AX5" s="7">
        <v>33160</v>
      </c>
      <c r="AY5" s="12">
        <v>0.10069080695361725</v>
      </c>
      <c r="AZ5" s="14">
        <v>3</v>
      </c>
      <c r="BA5" s="14">
        <v>7</v>
      </c>
      <c r="BB5" s="14">
        <v>7</v>
      </c>
      <c r="BC5" s="14">
        <v>0</v>
      </c>
      <c r="BD5" s="14">
        <v>0</v>
      </c>
      <c r="BE5" s="14">
        <v>0</v>
      </c>
      <c r="BF5" s="14">
        <v>4</v>
      </c>
      <c r="BG5" s="18">
        <v>4</v>
      </c>
      <c r="BH5" s="7">
        <v>22785</v>
      </c>
      <c r="BI5" s="17">
        <v>6.9186973354588926E-2</v>
      </c>
      <c r="BJ5" s="1">
        <v>1</v>
      </c>
      <c r="BK5" s="7">
        <v>329325</v>
      </c>
      <c r="BL5" s="8">
        <v>12</v>
      </c>
      <c r="BM5" s="7">
        <v>67200</v>
      </c>
      <c r="BN5" s="12">
        <v>0.20405374629924847</v>
      </c>
      <c r="BO5" s="7">
        <v>25470</v>
      </c>
      <c r="BP5" s="12">
        <v>7.7299999999999994E-2</v>
      </c>
      <c r="BQ5" s="1"/>
      <c r="BR5" s="1"/>
      <c r="BS5" s="1"/>
      <c r="BT5" s="1"/>
      <c r="BU5" s="1"/>
      <c r="BV5" s="1"/>
      <c r="BW5" s="1"/>
      <c r="BX5" s="1"/>
      <c r="BY5" s="1"/>
      <c r="BZ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0">
      <c r="A6" s="2" t="s">
        <v>333</v>
      </c>
      <c r="B6" s="1" t="s">
        <v>135</v>
      </c>
      <c r="C6" s="1" t="s">
        <v>326</v>
      </c>
      <c r="D6" s="8" t="s">
        <v>99</v>
      </c>
      <c r="E6" s="1"/>
      <c r="F6" s="2" t="s">
        <v>254</v>
      </c>
      <c r="G6" s="1" t="s">
        <v>100</v>
      </c>
      <c r="H6" s="4"/>
      <c r="I6" s="3"/>
      <c r="J6" s="1"/>
      <c r="K6" s="3"/>
      <c r="L6" s="13"/>
      <c r="M6" s="18"/>
      <c r="N6" s="18"/>
      <c r="O6" s="18"/>
      <c r="P6" s="18"/>
      <c r="Q6" s="18"/>
      <c r="R6" s="18"/>
      <c r="S6" s="18"/>
      <c r="T6" s="18"/>
      <c r="U6" s="3"/>
      <c r="V6" s="17"/>
      <c r="W6" s="4">
        <v>1</v>
      </c>
      <c r="X6" s="3">
        <v>51873</v>
      </c>
      <c r="Y6" s="1">
        <v>1</v>
      </c>
      <c r="Z6" s="3">
        <v>5168</v>
      </c>
      <c r="AA6" s="13">
        <v>9.9627937462649169E-2</v>
      </c>
      <c r="AB6" s="3">
        <v>3364</v>
      </c>
      <c r="AC6" s="13">
        <v>6.4850693038767754E-2</v>
      </c>
      <c r="AD6" s="14">
        <v>1</v>
      </c>
      <c r="AE6" s="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8">
        <v>0</v>
      </c>
      <c r="AL6" s="3">
        <v>0</v>
      </c>
      <c r="AM6" s="17">
        <v>0</v>
      </c>
      <c r="AN6" s="4">
        <v>1</v>
      </c>
      <c r="AO6" s="3">
        <v>67627</v>
      </c>
      <c r="AP6" s="1">
        <v>2</v>
      </c>
      <c r="AQ6" s="3">
        <v>11325</v>
      </c>
      <c r="AR6" s="13">
        <v>0.16750000000000001</v>
      </c>
      <c r="AS6" s="4">
        <v>1</v>
      </c>
      <c r="AT6" s="3">
        <v>68045</v>
      </c>
      <c r="AU6" s="1">
        <v>4</v>
      </c>
      <c r="AV6" s="3">
        <v>25070</v>
      </c>
      <c r="AW6" s="13">
        <v>0.36843265486075394</v>
      </c>
      <c r="AX6" s="3">
        <v>10405</v>
      </c>
      <c r="AY6" s="13">
        <v>0.15291351311632009</v>
      </c>
      <c r="AZ6" s="14">
        <v>0</v>
      </c>
      <c r="BA6" s="4">
        <v>4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8">
        <v>0</v>
      </c>
      <c r="BH6" s="3">
        <v>0</v>
      </c>
      <c r="BI6" s="17">
        <v>0</v>
      </c>
      <c r="BJ6" s="1">
        <v>1</v>
      </c>
      <c r="BK6" s="3">
        <v>68045</v>
      </c>
      <c r="BL6" s="1">
        <v>6</v>
      </c>
      <c r="BM6" s="3">
        <v>46100</v>
      </c>
      <c r="BN6" s="13">
        <v>0.6774928356234845</v>
      </c>
      <c r="BO6" s="3">
        <v>1470</v>
      </c>
      <c r="BP6" s="13">
        <v>2.1600000000000001E-2</v>
      </c>
      <c r="BQ6" s="1"/>
      <c r="BR6" s="1"/>
      <c r="BS6" s="1"/>
      <c r="BT6" s="1"/>
      <c r="BU6" s="1"/>
      <c r="BV6" s="1"/>
      <c r="BW6" s="1"/>
      <c r="BX6" s="1"/>
      <c r="BY6" s="1"/>
      <c r="BZ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>
      <c r="A7" s="10" t="s">
        <v>333</v>
      </c>
      <c r="B7" s="8" t="s">
        <v>135</v>
      </c>
      <c r="C7" s="8" t="s">
        <v>326</v>
      </c>
      <c r="D7" s="8" t="s">
        <v>99</v>
      </c>
      <c r="F7" s="10" t="s">
        <v>259</v>
      </c>
      <c r="G7" s="8" t="s">
        <v>101</v>
      </c>
      <c r="H7" s="4">
        <v>1</v>
      </c>
      <c r="I7" s="7">
        <v>188062</v>
      </c>
      <c r="J7" s="8">
        <v>8</v>
      </c>
      <c r="K7" s="7">
        <v>84877</v>
      </c>
      <c r="L7" s="12">
        <v>0.45129999999999998</v>
      </c>
      <c r="M7" s="18">
        <v>0</v>
      </c>
      <c r="N7" s="18">
        <v>4</v>
      </c>
      <c r="O7" s="18">
        <v>0</v>
      </c>
      <c r="P7" s="18">
        <v>4</v>
      </c>
      <c r="Q7" s="18">
        <v>0</v>
      </c>
      <c r="R7" s="18">
        <v>0</v>
      </c>
      <c r="S7" s="18">
        <v>0</v>
      </c>
      <c r="T7" s="18">
        <v>0</v>
      </c>
      <c r="U7" s="7">
        <v>0</v>
      </c>
      <c r="V7" s="17">
        <v>0</v>
      </c>
      <c r="W7" s="4">
        <v>1</v>
      </c>
      <c r="X7" s="7">
        <v>194767</v>
      </c>
      <c r="Y7" s="8">
        <v>10</v>
      </c>
      <c r="Z7" s="7">
        <v>74752</v>
      </c>
      <c r="AA7" s="12">
        <v>0.38380218414823869</v>
      </c>
      <c r="AB7" s="7">
        <v>15478</v>
      </c>
      <c r="AC7" s="12">
        <v>7.9469314616952558E-2</v>
      </c>
      <c r="AD7" s="14">
        <v>5</v>
      </c>
      <c r="AE7" s="14">
        <v>0</v>
      </c>
      <c r="AF7" s="14">
        <v>3</v>
      </c>
      <c r="AG7" s="14">
        <v>0</v>
      </c>
      <c r="AH7" s="14">
        <v>0</v>
      </c>
      <c r="AI7" s="14">
        <v>2</v>
      </c>
      <c r="AJ7" s="14">
        <v>0</v>
      </c>
      <c r="AK7" s="18">
        <v>0</v>
      </c>
      <c r="AL7" s="7">
        <v>0</v>
      </c>
      <c r="AM7" s="17">
        <v>0</v>
      </c>
      <c r="AN7" s="4">
        <v>1</v>
      </c>
      <c r="AO7" s="7">
        <v>219032</v>
      </c>
      <c r="AP7" s="8">
        <v>1</v>
      </c>
      <c r="AQ7" s="7">
        <v>5583</v>
      </c>
      <c r="AR7" s="12">
        <v>2.5499999999999998E-2</v>
      </c>
      <c r="AS7" s="4">
        <v>1</v>
      </c>
      <c r="AT7" s="7">
        <v>227417</v>
      </c>
      <c r="AU7" s="8">
        <v>15</v>
      </c>
      <c r="AV7" s="7">
        <v>150485</v>
      </c>
      <c r="AW7" s="12">
        <v>0.66171394398835615</v>
      </c>
      <c r="AX7" s="7">
        <v>20535</v>
      </c>
      <c r="AY7" s="12">
        <v>9.0296679667746918E-2</v>
      </c>
      <c r="AZ7" s="14">
        <v>2</v>
      </c>
      <c r="BA7" s="14">
        <v>2</v>
      </c>
      <c r="BB7" s="14">
        <v>3</v>
      </c>
      <c r="BC7" s="14">
        <v>4</v>
      </c>
      <c r="BD7" s="14">
        <v>2</v>
      </c>
      <c r="BE7" s="14">
        <v>0</v>
      </c>
      <c r="BF7" s="14">
        <v>2</v>
      </c>
      <c r="BG7" s="18">
        <v>1</v>
      </c>
      <c r="BH7" s="7">
        <v>5220</v>
      </c>
      <c r="BI7" s="17">
        <v>2.295342916316722E-2</v>
      </c>
      <c r="BJ7" s="1">
        <v>1</v>
      </c>
      <c r="BK7" s="7">
        <v>227417</v>
      </c>
      <c r="BL7" s="8">
        <v>5</v>
      </c>
      <c r="BM7" s="7">
        <v>41695</v>
      </c>
      <c r="BN7" s="12">
        <v>0.18334161474296118</v>
      </c>
      <c r="BO7" s="7">
        <v>8480</v>
      </c>
      <c r="BP7" s="12">
        <v>3.73E-2</v>
      </c>
      <c r="BQ7" s="1"/>
      <c r="BR7" s="1"/>
      <c r="BS7" s="1"/>
      <c r="BT7" s="1"/>
      <c r="BU7" s="1"/>
      <c r="BV7" s="1"/>
      <c r="BW7" s="1"/>
      <c r="BX7" s="1"/>
      <c r="BY7" s="1"/>
      <c r="BZ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</row>
    <row r="8" spans="1:110">
      <c r="A8" s="10" t="s">
        <v>333</v>
      </c>
      <c r="B8" s="8" t="s">
        <v>135</v>
      </c>
      <c r="C8" s="8" t="s">
        <v>326</v>
      </c>
      <c r="D8" s="8" t="s">
        <v>99</v>
      </c>
      <c r="F8" s="10" t="s">
        <v>260</v>
      </c>
      <c r="G8" s="8" t="s">
        <v>102</v>
      </c>
      <c r="H8" s="4">
        <v>1</v>
      </c>
      <c r="I8" s="7">
        <v>54350</v>
      </c>
      <c r="J8" s="8">
        <v>5</v>
      </c>
      <c r="K8" s="7">
        <v>43588</v>
      </c>
      <c r="L8" s="12">
        <v>0.80200000000000005</v>
      </c>
      <c r="M8" s="18">
        <v>0</v>
      </c>
      <c r="N8" s="18">
        <v>3</v>
      </c>
      <c r="O8" s="18">
        <v>0</v>
      </c>
      <c r="P8" s="18">
        <v>1</v>
      </c>
      <c r="Q8" s="18">
        <v>0</v>
      </c>
      <c r="R8" s="18">
        <v>0</v>
      </c>
      <c r="S8" s="18">
        <v>1</v>
      </c>
      <c r="T8" s="18">
        <v>0</v>
      </c>
      <c r="U8" s="7">
        <v>0</v>
      </c>
      <c r="V8" s="17">
        <v>0</v>
      </c>
      <c r="W8" s="4">
        <v>1</v>
      </c>
      <c r="X8" s="7">
        <v>51593</v>
      </c>
      <c r="Y8" s="8">
        <v>3</v>
      </c>
      <c r="Z8" s="7">
        <v>16506</v>
      </c>
      <c r="AA8" s="12">
        <v>0.31992712189638128</v>
      </c>
      <c r="AB8" s="7">
        <v>6132</v>
      </c>
      <c r="AC8" s="12">
        <v>0.11885333281646734</v>
      </c>
      <c r="AD8" s="14">
        <v>0</v>
      </c>
      <c r="AE8" s="14">
        <v>2</v>
      </c>
      <c r="AF8" s="14">
        <v>0</v>
      </c>
      <c r="AG8" s="14">
        <v>1</v>
      </c>
      <c r="AH8" s="14">
        <v>0</v>
      </c>
      <c r="AI8" s="14">
        <v>0</v>
      </c>
      <c r="AJ8" s="14">
        <v>0</v>
      </c>
      <c r="AK8" s="18">
        <v>0</v>
      </c>
      <c r="AL8" s="7">
        <v>0</v>
      </c>
      <c r="AM8" s="17">
        <v>0</v>
      </c>
      <c r="AN8" s="4">
        <v>1</v>
      </c>
      <c r="AO8" s="7">
        <v>55138</v>
      </c>
      <c r="AP8" s="8">
        <v>0</v>
      </c>
      <c r="AQ8" s="7">
        <v>0</v>
      </c>
      <c r="AR8" s="12">
        <v>0</v>
      </c>
      <c r="AS8" s="4">
        <v>1</v>
      </c>
      <c r="AT8" s="7">
        <v>54357</v>
      </c>
      <c r="AU8" s="8">
        <v>5</v>
      </c>
      <c r="AV8" s="7">
        <v>39420</v>
      </c>
      <c r="AW8" s="12">
        <v>0.7252055852972018</v>
      </c>
      <c r="AX8" s="7">
        <v>7460</v>
      </c>
      <c r="AY8" s="12">
        <v>0.13724083374726345</v>
      </c>
      <c r="AZ8" s="14">
        <v>0</v>
      </c>
      <c r="BA8" s="14">
        <v>3</v>
      </c>
      <c r="BB8" s="14">
        <v>0</v>
      </c>
      <c r="BC8" s="14">
        <v>2</v>
      </c>
      <c r="BD8" s="14">
        <v>0</v>
      </c>
      <c r="BE8" s="14">
        <v>0</v>
      </c>
      <c r="BF8" s="14">
        <v>0</v>
      </c>
      <c r="BG8" s="18">
        <v>0</v>
      </c>
      <c r="BH8" s="7">
        <v>0</v>
      </c>
      <c r="BI8" s="17">
        <v>0</v>
      </c>
      <c r="BJ8" s="1">
        <v>1</v>
      </c>
      <c r="BK8" s="7">
        <v>54357</v>
      </c>
      <c r="BL8" s="8">
        <v>0</v>
      </c>
      <c r="BM8" s="7">
        <v>0</v>
      </c>
      <c r="BN8" s="12">
        <v>0</v>
      </c>
      <c r="BO8" s="7">
        <v>3415</v>
      </c>
      <c r="BP8" s="12">
        <v>6.2799999999999995E-2</v>
      </c>
      <c r="BQ8" s="1"/>
      <c r="BR8" s="1"/>
      <c r="BS8" s="1"/>
      <c r="BT8" s="1"/>
      <c r="BU8" s="1"/>
      <c r="BV8" s="1"/>
      <c r="BW8" s="1"/>
      <c r="BX8" s="1"/>
      <c r="BY8" s="1"/>
      <c r="BZ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</row>
    <row r="9" spans="1:110">
      <c r="A9" s="2" t="s">
        <v>333</v>
      </c>
      <c r="B9" s="1" t="s">
        <v>135</v>
      </c>
      <c r="C9" s="1" t="s">
        <v>326</v>
      </c>
      <c r="D9" s="8" t="s">
        <v>99</v>
      </c>
      <c r="E9" s="1"/>
      <c r="F9" s="2" t="s">
        <v>265</v>
      </c>
      <c r="G9" s="1" t="s">
        <v>103</v>
      </c>
      <c r="H9" s="4"/>
      <c r="I9" s="3"/>
      <c r="J9" s="1"/>
      <c r="K9" s="3"/>
      <c r="L9" s="13"/>
      <c r="M9" s="18"/>
      <c r="N9" s="18"/>
      <c r="O9" s="18"/>
      <c r="P9" s="18"/>
      <c r="Q9" s="18"/>
      <c r="R9" s="18"/>
      <c r="S9" s="18"/>
      <c r="T9" s="18"/>
      <c r="U9" s="3"/>
      <c r="V9" s="17"/>
      <c r="W9" s="4">
        <v>1</v>
      </c>
      <c r="X9" s="3">
        <v>54390</v>
      </c>
      <c r="Y9" s="1">
        <v>1</v>
      </c>
      <c r="Z9" s="3">
        <v>4587</v>
      </c>
      <c r="AA9" s="13">
        <v>8.4335355763927186E-2</v>
      </c>
      <c r="AB9" s="3">
        <v>19838</v>
      </c>
      <c r="AC9" s="13">
        <v>0.36473616473616471</v>
      </c>
      <c r="AD9" s="4">
        <v>0</v>
      </c>
      <c r="AE9" s="4">
        <v>0</v>
      </c>
      <c r="AF9" s="4">
        <v>1</v>
      </c>
      <c r="AG9" s="14">
        <v>0</v>
      </c>
      <c r="AH9" s="14">
        <v>0</v>
      </c>
      <c r="AI9" s="14">
        <v>0</v>
      </c>
      <c r="AJ9" s="14">
        <v>0</v>
      </c>
      <c r="AK9" s="18">
        <v>0</v>
      </c>
      <c r="AL9" s="3">
        <v>0</v>
      </c>
      <c r="AM9" s="17">
        <v>0</v>
      </c>
      <c r="AN9" s="4">
        <v>1</v>
      </c>
      <c r="AO9" s="3">
        <v>77979</v>
      </c>
      <c r="AP9" s="1">
        <v>2</v>
      </c>
      <c r="AQ9" s="3">
        <v>9188</v>
      </c>
      <c r="AR9" s="13">
        <v>0.1178</v>
      </c>
      <c r="AS9" s="4">
        <v>1</v>
      </c>
      <c r="AT9" s="3">
        <v>79889</v>
      </c>
      <c r="AU9" s="1">
        <v>3</v>
      </c>
      <c r="AV9" s="3">
        <v>26795</v>
      </c>
      <c r="AW9" s="13">
        <v>0.3354028714841843</v>
      </c>
      <c r="AX9" s="3">
        <v>22925</v>
      </c>
      <c r="AY9" s="13">
        <v>0.28696065791285408</v>
      </c>
      <c r="AZ9" s="4">
        <v>1</v>
      </c>
      <c r="BA9" s="4">
        <v>1</v>
      </c>
      <c r="BB9" s="4">
        <v>1</v>
      </c>
      <c r="BC9" s="14">
        <v>0</v>
      </c>
      <c r="BD9" s="14">
        <v>0</v>
      </c>
      <c r="BE9" s="14">
        <v>0</v>
      </c>
      <c r="BF9" s="14">
        <v>0</v>
      </c>
      <c r="BG9" s="18">
        <v>0</v>
      </c>
      <c r="BH9" s="3">
        <v>0</v>
      </c>
      <c r="BI9" s="17">
        <v>0</v>
      </c>
      <c r="BJ9" s="1">
        <v>1</v>
      </c>
      <c r="BK9" s="3">
        <v>79889</v>
      </c>
      <c r="BL9" s="1">
        <v>3</v>
      </c>
      <c r="BM9" s="3">
        <v>21615</v>
      </c>
      <c r="BN9" s="13">
        <v>0.27056290603211958</v>
      </c>
      <c r="BO9" s="3">
        <v>13785</v>
      </c>
      <c r="BP9" s="13">
        <v>0.1726</v>
      </c>
      <c r="BQ9" s="1"/>
      <c r="BR9" s="1"/>
      <c r="BS9" s="1"/>
      <c r="BT9" s="1"/>
      <c r="BU9" s="1"/>
      <c r="BV9" s="1"/>
      <c r="BW9" s="1"/>
      <c r="BX9" s="1"/>
      <c r="BY9" s="1"/>
      <c r="BZ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</row>
    <row r="10" spans="1:110">
      <c r="A10" s="2" t="s">
        <v>333</v>
      </c>
      <c r="B10" s="1" t="s">
        <v>135</v>
      </c>
      <c r="C10" s="1" t="s">
        <v>326</v>
      </c>
      <c r="D10" s="8" t="s">
        <v>99</v>
      </c>
      <c r="E10" s="1"/>
      <c r="F10" s="2" t="s">
        <v>270</v>
      </c>
      <c r="G10" s="1" t="s">
        <v>105</v>
      </c>
      <c r="H10" s="4"/>
      <c r="I10" s="3"/>
      <c r="J10" s="1"/>
      <c r="K10" s="3"/>
      <c r="L10" s="13"/>
      <c r="M10" s="18"/>
      <c r="N10" s="18"/>
      <c r="O10" s="18"/>
      <c r="P10" s="18"/>
      <c r="Q10" s="18"/>
      <c r="R10" s="18"/>
      <c r="S10" s="18"/>
      <c r="T10" s="18"/>
      <c r="U10" s="3"/>
      <c r="V10" s="17"/>
      <c r="W10" s="4"/>
      <c r="X10" s="3"/>
      <c r="Y10" s="1"/>
      <c r="Z10" s="3"/>
      <c r="AA10" s="13"/>
      <c r="AB10" s="3"/>
      <c r="AC10" s="13"/>
      <c r="AD10" s="4"/>
      <c r="AE10" s="14"/>
      <c r="AF10" s="14"/>
      <c r="AG10" s="14"/>
      <c r="AH10" s="14"/>
      <c r="AI10" s="14"/>
      <c r="AJ10" s="14"/>
      <c r="AK10" s="18"/>
      <c r="AL10" s="3"/>
      <c r="AM10" s="17"/>
      <c r="AN10" s="1"/>
      <c r="AO10" s="3"/>
      <c r="AP10" s="1"/>
      <c r="AQ10" s="3"/>
      <c r="AR10" s="13"/>
      <c r="AS10" s="4">
        <v>1</v>
      </c>
      <c r="AT10" s="3">
        <v>54781</v>
      </c>
      <c r="AU10" s="1">
        <v>1</v>
      </c>
      <c r="AV10" s="3">
        <v>4785</v>
      </c>
      <c r="AW10" s="13">
        <v>8.7347803070407626E-2</v>
      </c>
      <c r="AX10" s="3">
        <v>5085</v>
      </c>
      <c r="AY10" s="13">
        <v>9.2824154360088354E-2</v>
      </c>
      <c r="AZ10" s="4">
        <v>1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8">
        <v>0</v>
      </c>
      <c r="BH10" s="3">
        <v>0</v>
      </c>
      <c r="BI10" s="17">
        <v>0</v>
      </c>
      <c r="BJ10" s="1">
        <v>1</v>
      </c>
      <c r="BK10" s="3">
        <v>54781</v>
      </c>
      <c r="BL10" s="1">
        <v>0</v>
      </c>
      <c r="BM10" s="3">
        <v>0</v>
      </c>
      <c r="BN10" s="13">
        <v>0</v>
      </c>
      <c r="BO10" s="3">
        <v>0</v>
      </c>
      <c r="BP10" s="13">
        <v>0</v>
      </c>
      <c r="BQ10" s="1"/>
      <c r="BR10" s="1"/>
      <c r="BS10" s="1"/>
      <c r="BT10" s="1"/>
      <c r="BU10" s="1"/>
      <c r="BV10" s="1"/>
      <c r="BW10" s="1"/>
      <c r="BX10" s="1"/>
      <c r="BY10" s="1"/>
      <c r="BZ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spans="1:110">
      <c r="A11" s="2" t="s">
        <v>333</v>
      </c>
      <c r="B11" s="1" t="s">
        <v>135</v>
      </c>
      <c r="C11" s="1" t="s">
        <v>326</v>
      </c>
      <c r="D11" s="8" t="s">
        <v>99</v>
      </c>
      <c r="E11" s="1"/>
      <c r="F11" s="2" t="s">
        <v>273</v>
      </c>
      <c r="G11" s="1" t="s">
        <v>106</v>
      </c>
      <c r="H11" s="4"/>
      <c r="I11" s="3"/>
      <c r="J11" s="1"/>
      <c r="K11" s="3"/>
      <c r="L11" s="13"/>
      <c r="M11" s="18"/>
      <c r="N11" s="18"/>
      <c r="O11" s="18"/>
      <c r="P11" s="18"/>
      <c r="Q11" s="18"/>
      <c r="R11" s="18"/>
      <c r="S11" s="18"/>
      <c r="T11" s="18"/>
      <c r="U11" s="3"/>
      <c r="V11" s="17"/>
      <c r="W11" s="4">
        <v>1</v>
      </c>
      <c r="X11" s="3">
        <v>50953</v>
      </c>
      <c r="Y11" s="1">
        <v>2</v>
      </c>
      <c r="Z11" s="3">
        <v>7783</v>
      </c>
      <c r="AA11" s="13">
        <v>0.15274861146546817</v>
      </c>
      <c r="AB11" s="3">
        <v>1490</v>
      </c>
      <c r="AC11" s="13">
        <v>2.9242635369850646E-2</v>
      </c>
      <c r="AD11" s="4">
        <v>1</v>
      </c>
      <c r="AE11" s="4">
        <v>0</v>
      </c>
      <c r="AF11" s="14">
        <v>1</v>
      </c>
      <c r="AG11" s="14">
        <v>0</v>
      </c>
      <c r="AH11" s="14">
        <v>0</v>
      </c>
      <c r="AI11" s="14">
        <v>0</v>
      </c>
      <c r="AJ11" s="14">
        <v>0</v>
      </c>
      <c r="AK11" s="18">
        <v>0</v>
      </c>
      <c r="AL11" s="3">
        <v>0</v>
      </c>
      <c r="AM11" s="17">
        <v>0</v>
      </c>
      <c r="AN11" s="4">
        <v>1</v>
      </c>
      <c r="AO11" s="3">
        <v>92034</v>
      </c>
      <c r="AP11" s="1">
        <v>9</v>
      </c>
      <c r="AQ11" s="3">
        <v>65785</v>
      </c>
      <c r="AR11" s="13">
        <v>0.71479999999999999</v>
      </c>
      <c r="AS11" s="4">
        <v>1</v>
      </c>
      <c r="AT11" s="3">
        <v>90097</v>
      </c>
      <c r="AU11" s="1">
        <v>8</v>
      </c>
      <c r="AV11" s="3">
        <v>55130</v>
      </c>
      <c r="AW11" s="13">
        <v>0.6118960675716173</v>
      </c>
      <c r="AX11" s="3">
        <v>14875</v>
      </c>
      <c r="AY11" s="13">
        <v>0.16509983684251417</v>
      </c>
      <c r="AZ11" s="4">
        <v>2</v>
      </c>
      <c r="BA11" s="4">
        <v>6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8">
        <v>0</v>
      </c>
      <c r="BH11" s="3">
        <v>0</v>
      </c>
      <c r="BI11" s="17">
        <v>0</v>
      </c>
      <c r="BJ11" s="1">
        <v>1</v>
      </c>
      <c r="BK11" s="3">
        <v>90097</v>
      </c>
      <c r="BL11" s="1">
        <v>10</v>
      </c>
      <c r="BM11" s="3">
        <v>69845</v>
      </c>
      <c r="BN11" s="13">
        <v>0.77522004062288419</v>
      </c>
      <c r="BO11" s="3">
        <v>5615</v>
      </c>
      <c r="BP11" s="13">
        <v>6.2300000000000001E-2</v>
      </c>
      <c r="BQ11" s="1"/>
      <c r="BR11" s="1"/>
      <c r="BS11" s="1"/>
      <c r="BT11" s="1"/>
      <c r="BU11" s="1"/>
      <c r="BV11" s="1"/>
      <c r="BW11" s="1"/>
      <c r="BX11" s="1"/>
      <c r="BY11" s="1"/>
      <c r="BZ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spans="1:110">
      <c r="A12" s="10" t="s">
        <v>324</v>
      </c>
      <c r="B12" s="8" t="s">
        <v>30</v>
      </c>
      <c r="C12" s="8" t="s">
        <v>327</v>
      </c>
      <c r="D12" s="8" t="s">
        <v>1</v>
      </c>
      <c r="E12" s="8">
        <v>1</v>
      </c>
      <c r="F12" s="10" t="s">
        <v>166</v>
      </c>
      <c r="G12" s="8" t="s">
        <v>1</v>
      </c>
      <c r="H12" s="4">
        <v>1</v>
      </c>
      <c r="I12" s="7">
        <v>155120</v>
      </c>
      <c r="J12" s="8">
        <v>6</v>
      </c>
      <c r="K12" s="7">
        <v>41978</v>
      </c>
      <c r="L12" s="12">
        <v>0.27060000000000001</v>
      </c>
      <c r="M12" s="18">
        <v>0</v>
      </c>
      <c r="N12" s="18">
        <v>2</v>
      </c>
      <c r="O12" s="18">
        <v>1</v>
      </c>
      <c r="P12" s="18">
        <v>1</v>
      </c>
      <c r="Q12" s="18">
        <v>0</v>
      </c>
      <c r="R12" s="18">
        <v>0</v>
      </c>
      <c r="S12" s="18">
        <v>2</v>
      </c>
      <c r="T12" s="18">
        <v>2</v>
      </c>
      <c r="U12" s="7">
        <v>16471</v>
      </c>
      <c r="V12" s="17">
        <v>0.10618231046931408</v>
      </c>
      <c r="W12" s="4">
        <v>1</v>
      </c>
      <c r="X12" s="7">
        <v>166328</v>
      </c>
      <c r="Y12" s="8">
        <v>5</v>
      </c>
      <c r="Z12" s="7">
        <v>26823</v>
      </c>
      <c r="AA12" s="12">
        <v>0.16126569188591217</v>
      </c>
      <c r="AB12" s="7">
        <v>22878</v>
      </c>
      <c r="AC12" s="12">
        <v>0.13754749651291423</v>
      </c>
      <c r="AD12" s="14">
        <v>0</v>
      </c>
      <c r="AE12" s="14">
        <v>0</v>
      </c>
      <c r="AF12" s="14">
        <v>0</v>
      </c>
      <c r="AG12" s="14">
        <v>3</v>
      </c>
      <c r="AH12" s="14">
        <v>0</v>
      </c>
      <c r="AI12" s="14">
        <v>0</v>
      </c>
      <c r="AJ12" s="14">
        <v>2</v>
      </c>
      <c r="AK12" s="18">
        <v>1</v>
      </c>
      <c r="AL12" s="7">
        <v>4328</v>
      </c>
      <c r="AM12" s="17">
        <v>2.6020874416814967E-2</v>
      </c>
      <c r="AN12" s="4">
        <v>1</v>
      </c>
      <c r="AO12" s="7">
        <v>185309</v>
      </c>
      <c r="AP12" s="8">
        <v>1</v>
      </c>
      <c r="AQ12" s="7">
        <v>5582</v>
      </c>
      <c r="AR12" s="12">
        <v>3.0099999999999998E-2</v>
      </c>
      <c r="AS12" s="4">
        <v>1</v>
      </c>
      <c r="AT12" s="7">
        <v>189680</v>
      </c>
      <c r="AU12" s="8">
        <v>9</v>
      </c>
      <c r="AV12" s="7">
        <v>71720</v>
      </c>
      <c r="AW12" s="12">
        <v>0.37811050189793338</v>
      </c>
      <c r="AX12" s="7">
        <v>19665</v>
      </c>
      <c r="AY12" s="12">
        <v>0.10367460986925348</v>
      </c>
      <c r="AZ12" s="14">
        <v>1</v>
      </c>
      <c r="BA12" s="14">
        <v>2</v>
      </c>
      <c r="BB12" s="14">
        <v>1</v>
      </c>
      <c r="BC12" s="14">
        <v>2</v>
      </c>
      <c r="BD12" s="14">
        <v>0</v>
      </c>
      <c r="BE12" s="14">
        <v>0</v>
      </c>
      <c r="BF12" s="14">
        <v>3</v>
      </c>
      <c r="BG12" s="18">
        <v>1</v>
      </c>
      <c r="BH12" s="7">
        <v>5550</v>
      </c>
      <c r="BI12" s="17">
        <v>2.9259805989034163E-2</v>
      </c>
      <c r="BJ12" s="1">
        <v>1</v>
      </c>
      <c r="BK12" s="7">
        <v>189680</v>
      </c>
      <c r="BL12" s="8">
        <v>4</v>
      </c>
      <c r="BM12" s="7">
        <v>29225</v>
      </c>
      <c r="BN12" s="12">
        <v>0.15407528469000423</v>
      </c>
      <c r="BO12" s="7">
        <v>3770</v>
      </c>
      <c r="BP12" s="12">
        <v>1.9900000000000001E-2</v>
      </c>
      <c r="BQ12" s="1"/>
      <c r="BR12" s="1"/>
      <c r="BS12" s="1"/>
      <c r="BT12" s="1"/>
      <c r="BU12" s="1"/>
      <c r="BV12" s="1"/>
      <c r="BW12" s="1"/>
      <c r="BX12" s="1"/>
      <c r="BY12" s="1"/>
      <c r="BZ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spans="1:110">
      <c r="A13" s="10" t="s">
        <v>324</v>
      </c>
      <c r="B13" s="8" t="s">
        <v>30</v>
      </c>
      <c r="C13" s="8" t="s">
        <v>327</v>
      </c>
      <c r="D13" s="8" t="s">
        <v>1</v>
      </c>
      <c r="F13" s="2" t="s">
        <v>186</v>
      </c>
      <c r="G13" s="1" t="s">
        <v>2</v>
      </c>
      <c r="H13" s="4"/>
      <c r="I13" s="3"/>
      <c r="J13" s="1"/>
      <c r="K13" s="3"/>
      <c r="L13" s="13"/>
      <c r="M13" s="18"/>
      <c r="N13" s="18"/>
      <c r="O13" s="18"/>
      <c r="P13" s="18"/>
      <c r="Q13" s="18"/>
      <c r="R13" s="18"/>
      <c r="S13" s="18"/>
      <c r="T13" s="18"/>
      <c r="U13" s="3"/>
      <c r="V13" s="17"/>
      <c r="W13" s="4">
        <v>1</v>
      </c>
      <c r="X13" s="3">
        <v>50096</v>
      </c>
      <c r="Y13" s="1">
        <v>2</v>
      </c>
      <c r="Z13" s="3">
        <v>10178</v>
      </c>
      <c r="AA13" s="13">
        <v>0.20316991376557011</v>
      </c>
      <c r="AB13" s="3">
        <v>9859</v>
      </c>
      <c r="AC13" s="13">
        <v>0.19680213989140849</v>
      </c>
      <c r="AD13" s="14">
        <v>1</v>
      </c>
      <c r="AE13" s="4">
        <v>0</v>
      </c>
      <c r="AF13" s="14">
        <v>0</v>
      </c>
      <c r="AG13" s="14">
        <v>0</v>
      </c>
      <c r="AH13" s="14">
        <v>0</v>
      </c>
      <c r="AI13" s="14">
        <v>1</v>
      </c>
      <c r="AJ13" s="4">
        <v>0</v>
      </c>
      <c r="AK13" s="18">
        <v>0</v>
      </c>
      <c r="AL13" s="3">
        <v>0</v>
      </c>
      <c r="AM13" s="17">
        <v>0</v>
      </c>
      <c r="AN13" s="4">
        <v>1</v>
      </c>
      <c r="AO13" s="3">
        <v>71740</v>
      </c>
      <c r="AP13" s="1">
        <v>5</v>
      </c>
      <c r="AQ13" s="3">
        <v>36491</v>
      </c>
      <c r="AR13" s="13">
        <v>0.50870000000000004</v>
      </c>
      <c r="AS13" s="4">
        <v>1</v>
      </c>
      <c r="AT13" s="3">
        <v>86799</v>
      </c>
      <c r="AU13" s="1">
        <v>2</v>
      </c>
      <c r="AV13" s="3">
        <v>21350</v>
      </c>
      <c r="AW13" s="13">
        <v>0.2459705756978767</v>
      </c>
      <c r="AX13" s="3">
        <v>18655</v>
      </c>
      <c r="AY13" s="13">
        <v>0.21492183089666933</v>
      </c>
      <c r="AZ13" s="14">
        <v>0</v>
      </c>
      <c r="BA13" s="4">
        <v>1</v>
      </c>
      <c r="BB13" s="14">
        <v>0</v>
      </c>
      <c r="BC13" s="14">
        <v>0</v>
      </c>
      <c r="BD13" s="14">
        <v>0</v>
      </c>
      <c r="BE13" s="14">
        <v>0</v>
      </c>
      <c r="BF13" s="4">
        <v>1</v>
      </c>
      <c r="BG13" s="18">
        <v>1</v>
      </c>
      <c r="BH13" s="3">
        <v>7515</v>
      </c>
      <c r="BI13" s="17">
        <v>8.6579338471641384E-2</v>
      </c>
      <c r="BJ13" s="1">
        <v>1</v>
      </c>
      <c r="BK13" s="3">
        <v>86799</v>
      </c>
      <c r="BL13" s="1">
        <v>7</v>
      </c>
      <c r="BM13" s="3">
        <v>60965</v>
      </c>
      <c r="BN13" s="13">
        <v>0.70236984297054117</v>
      </c>
      <c r="BO13" s="3">
        <v>1520</v>
      </c>
      <c r="BP13" s="13">
        <v>1.7500000000000002E-2</v>
      </c>
      <c r="BQ13" s="1"/>
      <c r="BR13" s="1"/>
      <c r="BS13" s="1"/>
      <c r="BT13" s="1"/>
      <c r="BU13" s="1"/>
      <c r="BV13" s="1"/>
      <c r="BW13" s="1"/>
      <c r="BX13" s="1"/>
      <c r="BY13" s="1"/>
      <c r="BZ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</row>
    <row r="14" spans="1:110">
      <c r="A14" s="10" t="s">
        <v>324</v>
      </c>
      <c r="B14" s="8" t="s">
        <v>30</v>
      </c>
      <c r="C14" s="8" t="s">
        <v>327</v>
      </c>
      <c r="D14" s="8" t="s">
        <v>1</v>
      </c>
      <c r="F14" s="2" t="s">
        <v>172</v>
      </c>
      <c r="G14" s="1" t="s">
        <v>3</v>
      </c>
      <c r="H14" s="4"/>
      <c r="I14" s="3"/>
      <c r="J14" s="1"/>
      <c r="K14" s="3"/>
      <c r="L14" s="13"/>
      <c r="M14" s="18"/>
      <c r="N14" s="18"/>
      <c r="O14" s="18"/>
      <c r="P14" s="18"/>
      <c r="Q14" s="18"/>
      <c r="R14" s="18"/>
      <c r="S14" s="18"/>
      <c r="T14" s="18"/>
      <c r="U14" s="3"/>
      <c r="V14" s="17"/>
      <c r="W14" s="4">
        <v>1</v>
      </c>
      <c r="X14" s="3">
        <v>57877</v>
      </c>
      <c r="Y14" s="1">
        <v>2</v>
      </c>
      <c r="Z14" s="3">
        <v>12027</v>
      </c>
      <c r="AA14" s="13">
        <v>0.20780275411648841</v>
      </c>
      <c r="AB14" s="3">
        <v>21684</v>
      </c>
      <c r="AC14" s="13">
        <v>0.37465659933997963</v>
      </c>
      <c r="AD14" s="4">
        <v>0</v>
      </c>
      <c r="AE14" s="14">
        <v>0</v>
      </c>
      <c r="AF14" s="14">
        <v>0</v>
      </c>
      <c r="AG14" s="4">
        <v>0</v>
      </c>
      <c r="AH14" s="14">
        <v>0</v>
      </c>
      <c r="AI14" s="14">
        <v>2</v>
      </c>
      <c r="AJ14" s="14">
        <v>0</v>
      </c>
      <c r="AK14" s="18">
        <v>0</v>
      </c>
      <c r="AL14" s="3">
        <v>0</v>
      </c>
      <c r="AM14" s="17">
        <v>0</v>
      </c>
      <c r="AN14" s="4">
        <v>1</v>
      </c>
      <c r="AO14" s="3">
        <v>75969</v>
      </c>
      <c r="AP14" s="1">
        <v>5</v>
      </c>
      <c r="AQ14" s="3">
        <v>29464</v>
      </c>
      <c r="AR14" s="13">
        <v>0.38779999999999998</v>
      </c>
      <c r="AS14" s="4">
        <v>1</v>
      </c>
      <c r="AT14" s="3">
        <v>80839</v>
      </c>
      <c r="AU14" s="1">
        <v>3</v>
      </c>
      <c r="AV14" s="3">
        <v>31840</v>
      </c>
      <c r="AW14" s="13">
        <v>0.39386929576070956</v>
      </c>
      <c r="AX14" s="3">
        <v>21105</v>
      </c>
      <c r="AY14" s="13">
        <v>0.26107448137656331</v>
      </c>
      <c r="AZ14" s="4">
        <v>2</v>
      </c>
      <c r="BA14" s="14">
        <v>0</v>
      </c>
      <c r="BB14" s="14">
        <v>0</v>
      </c>
      <c r="BC14" s="4">
        <v>1</v>
      </c>
      <c r="BD14" s="14">
        <v>0</v>
      </c>
      <c r="BE14" s="14">
        <v>0</v>
      </c>
      <c r="BF14" s="14">
        <v>0</v>
      </c>
      <c r="BG14" s="18">
        <v>0</v>
      </c>
      <c r="BH14" s="3">
        <v>0</v>
      </c>
      <c r="BI14" s="17">
        <v>0</v>
      </c>
      <c r="BJ14" s="1">
        <v>1</v>
      </c>
      <c r="BK14" s="3">
        <v>80839</v>
      </c>
      <c r="BL14" s="1">
        <v>9</v>
      </c>
      <c r="BM14" s="3">
        <v>65480</v>
      </c>
      <c r="BN14" s="13">
        <v>0.81000507180939896</v>
      </c>
      <c r="BO14" s="3">
        <v>1565</v>
      </c>
      <c r="BP14" s="13">
        <v>1.9400000000000001E-2</v>
      </c>
      <c r="BQ14" s="1"/>
      <c r="BR14" s="1"/>
      <c r="BS14" s="1"/>
      <c r="BT14" s="1"/>
      <c r="BU14" s="1"/>
      <c r="BV14" s="1"/>
      <c r="BW14" s="1"/>
      <c r="BX14" s="1"/>
      <c r="BY14" s="1"/>
      <c r="BZ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spans="1:110">
      <c r="A15" s="10" t="s">
        <v>330</v>
      </c>
      <c r="B15" s="8" t="s">
        <v>71</v>
      </c>
      <c r="C15" s="8" t="s">
        <v>328</v>
      </c>
      <c r="D15" s="8" t="s">
        <v>58</v>
      </c>
      <c r="E15" s="8">
        <v>1</v>
      </c>
      <c r="F15" s="10" t="s">
        <v>218</v>
      </c>
      <c r="G15" s="8" t="s">
        <v>58</v>
      </c>
      <c r="H15" s="4">
        <v>1</v>
      </c>
      <c r="I15" s="7">
        <v>44675</v>
      </c>
      <c r="J15" s="8">
        <v>0</v>
      </c>
      <c r="K15" s="8">
        <v>0</v>
      </c>
      <c r="L15" s="12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18">
        <f>SUM(Tabla2[[#This Row],[EST_BBVV91]:[ESTyPARyVIV_BBVV91]])</f>
        <v>0</v>
      </c>
      <c r="U15" s="8">
        <v>0</v>
      </c>
      <c r="V15" s="17">
        <v>0</v>
      </c>
      <c r="W15" s="4">
        <v>1</v>
      </c>
      <c r="X15" s="7">
        <v>49712</v>
      </c>
      <c r="Y15" s="8">
        <v>0</v>
      </c>
      <c r="Z15" s="8">
        <v>0</v>
      </c>
      <c r="AA15" s="12">
        <v>0</v>
      </c>
      <c r="AB15" s="8">
        <v>2666</v>
      </c>
      <c r="AC15" s="12">
        <v>5.3628902478274863E-2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18">
        <v>0</v>
      </c>
      <c r="AL15" s="8">
        <v>0</v>
      </c>
      <c r="AM15" s="17">
        <v>0</v>
      </c>
      <c r="AN15" s="4">
        <v>1</v>
      </c>
      <c r="AO15" s="7">
        <v>53272</v>
      </c>
      <c r="AP15" s="8">
        <v>0</v>
      </c>
      <c r="AQ15" s="8">
        <v>0</v>
      </c>
      <c r="AR15" s="12">
        <v>0</v>
      </c>
      <c r="AS15" s="4">
        <v>1</v>
      </c>
      <c r="AT15" s="7">
        <v>59482</v>
      </c>
      <c r="AU15" s="8">
        <v>0</v>
      </c>
      <c r="AV15" s="8">
        <v>0</v>
      </c>
      <c r="AW15" s="12">
        <v>0</v>
      </c>
      <c r="AX15" s="8">
        <v>615</v>
      </c>
      <c r="AY15" s="12">
        <v>1.0339262297838001E-2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18">
        <v>0</v>
      </c>
      <c r="BH15" s="8">
        <v>0</v>
      </c>
      <c r="BI15" s="17">
        <v>0</v>
      </c>
      <c r="BJ15" s="1">
        <v>1</v>
      </c>
      <c r="BK15" s="7">
        <v>59482</v>
      </c>
      <c r="BL15" s="8">
        <v>2</v>
      </c>
      <c r="BM15" s="8">
        <v>8895</v>
      </c>
      <c r="BN15" s="12">
        <v>0.14954103762482768</v>
      </c>
      <c r="BO15" s="8">
        <v>1440</v>
      </c>
      <c r="BP15" s="12">
        <v>2.4199999999999999E-2</v>
      </c>
      <c r="BQ15" s="1"/>
      <c r="BR15" s="1"/>
      <c r="BS15" s="1"/>
      <c r="BT15" s="1"/>
      <c r="BU15" s="1"/>
      <c r="BV15" s="1"/>
      <c r="BW15" s="1"/>
      <c r="BX15" s="1"/>
      <c r="BY15" s="1"/>
      <c r="BZ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</row>
    <row r="16" spans="1:110">
      <c r="A16" s="10" t="s">
        <v>334</v>
      </c>
      <c r="B16" s="8" t="s">
        <v>136</v>
      </c>
      <c r="C16" s="8" t="s">
        <v>329</v>
      </c>
      <c r="D16" s="8" t="s">
        <v>112</v>
      </c>
      <c r="E16" s="8">
        <v>1</v>
      </c>
      <c r="F16" s="10" t="s">
        <v>253</v>
      </c>
      <c r="G16" s="8" t="s">
        <v>112</v>
      </c>
      <c r="H16" s="4">
        <v>1</v>
      </c>
      <c r="I16" s="7">
        <v>122225</v>
      </c>
      <c r="J16" s="8">
        <v>3</v>
      </c>
      <c r="K16" s="7">
        <v>21007</v>
      </c>
      <c r="L16" s="12">
        <v>0.1719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3</v>
      </c>
      <c r="T16" s="18">
        <v>1</v>
      </c>
      <c r="U16" s="7">
        <v>7081</v>
      </c>
      <c r="V16" s="17">
        <v>5.7934137860503172E-2</v>
      </c>
      <c r="W16" s="4">
        <v>1</v>
      </c>
      <c r="X16" s="7">
        <v>133519</v>
      </c>
      <c r="Y16" s="8">
        <v>6</v>
      </c>
      <c r="Z16" s="7">
        <v>36734</v>
      </c>
      <c r="AA16" s="12">
        <v>0.27512189276432569</v>
      </c>
      <c r="AB16" s="7">
        <v>21277</v>
      </c>
      <c r="AC16" s="12">
        <v>0.15935559733071697</v>
      </c>
      <c r="AD16" s="14">
        <v>0</v>
      </c>
      <c r="AE16" s="14">
        <v>2</v>
      </c>
      <c r="AF16" s="14">
        <v>0</v>
      </c>
      <c r="AG16" s="14">
        <v>0</v>
      </c>
      <c r="AH16" s="14">
        <v>1</v>
      </c>
      <c r="AI16" s="14">
        <v>0</v>
      </c>
      <c r="AJ16" s="14">
        <v>3</v>
      </c>
      <c r="AK16" s="18">
        <v>2</v>
      </c>
      <c r="AL16" s="7">
        <v>12224</v>
      </c>
      <c r="AM16" s="17">
        <v>9.1552513125472773E-2</v>
      </c>
      <c r="AN16" s="4">
        <v>1</v>
      </c>
      <c r="AO16" s="7">
        <v>143748</v>
      </c>
      <c r="AP16" s="8">
        <v>0</v>
      </c>
      <c r="AQ16" s="7">
        <v>0</v>
      </c>
      <c r="AR16" s="12">
        <v>0</v>
      </c>
      <c r="AS16" s="4">
        <v>1</v>
      </c>
      <c r="AT16" s="7">
        <v>151214</v>
      </c>
      <c r="AU16" s="8">
        <v>6</v>
      </c>
      <c r="AV16" s="7">
        <v>30310</v>
      </c>
      <c r="AW16" s="12">
        <v>0.20044440329599111</v>
      </c>
      <c r="AX16" s="7">
        <v>20005</v>
      </c>
      <c r="AY16" s="12">
        <v>0.13229595143306835</v>
      </c>
      <c r="AZ16" s="14">
        <v>1</v>
      </c>
      <c r="BA16" s="14">
        <v>1</v>
      </c>
      <c r="BB16" s="14">
        <v>1</v>
      </c>
      <c r="BC16" s="14">
        <v>1</v>
      </c>
      <c r="BD16" s="14">
        <v>0</v>
      </c>
      <c r="BE16" s="14">
        <v>0</v>
      </c>
      <c r="BF16" s="14">
        <v>2</v>
      </c>
      <c r="BG16" s="18">
        <v>2</v>
      </c>
      <c r="BH16" s="7">
        <v>10130</v>
      </c>
      <c r="BI16" s="17">
        <v>6.6991151612945887E-2</v>
      </c>
      <c r="BJ16" s="1">
        <v>1</v>
      </c>
      <c r="BK16" s="7">
        <v>151214</v>
      </c>
      <c r="BL16" s="8">
        <v>0</v>
      </c>
      <c r="BM16" s="7">
        <v>0</v>
      </c>
      <c r="BN16" s="12">
        <v>0</v>
      </c>
      <c r="BO16" s="7">
        <v>2050</v>
      </c>
      <c r="BP16" s="12">
        <v>1.3599999999999999E-2</v>
      </c>
      <c r="BQ16" s="1"/>
      <c r="BR16" s="1"/>
      <c r="BS16" s="1"/>
      <c r="BT16" s="1"/>
      <c r="BU16" s="1"/>
      <c r="BV16" s="1"/>
      <c r="BW16" s="1"/>
      <c r="BX16" s="1"/>
      <c r="BY16" s="1"/>
      <c r="BZ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</row>
    <row r="17" spans="1:110">
      <c r="A17" s="10" t="s">
        <v>334</v>
      </c>
      <c r="B17" s="8" t="s">
        <v>136</v>
      </c>
      <c r="C17" s="8" t="s">
        <v>329</v>
      </c>
      <c r="D17" s="8" t="s">
        <v>112</v>
      </c>
      <c r="E17" s="8">
        <v>1</v>
      </c>
      <c r="F17" s="10" t="s">
        <v>264</v>
      </c>
      <c r="G17" s="8" t="s">
        <v>113</v>
      </c>
      <c r="H17" s="4">
        <v>1</v>
      </c>
      <c r="I17" s="7">
        <v>49284</v>
      </c>
      <c r="J17" s="8">
        <v>2</v>
      </c>
      <c r="K17" s="7">
        <v>11243</v>
      </c>
      <c r="L17" s="12">
        <v>0.2281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1</v>
      </c>
      <c r="S17" s="18">
        <v>1</v>
      </c>
      <c r="T17" s="18">
        <v>2</v>
      </c>
      <c r="U17" s="7">
        <v>11243</v>
      </c>
      <c r="V17" s="17">
        <v>0.22812677542407273</v>
      </c>
      <c r="W17" s="4">
        <v>1</v>
      </c>
      <c r="X17" s="7">
        <v>50271</v>
      </c>
      <c r="Y17" s="8">
        <v>2</v>
      </c>
      <c r="Z17" s="7">
        <v>12946</v>
      </c>
      <c r="AA17" s="12">
        <v>0.25752421873445924</v>
      </c>
      <c r="AB17" s="7">
        <v>12130</v>
      </c>
      <c r="AC17" s="12">
        <v>0.24129219629607526</v>
      </c>
      <c r="AD17" s="14">
        <v>0</v>
      </c>
      <c r="AE17" s="14">
        <v>0</v>
      </c>
      <c r="AF17" s="14">
        <v>0</v>
      </c>
      <c r="AG17" s="14">
        <v>1</v>
      </c>
      <c r="AH17" s="14">
        <v>1</v>
      </c>
      <c r="AI17" s="14">
        <v>0</v>
      </c>
      <c r="AJ17" s="14">
        <v>0</v>
      </c>
      <c r="AK17" s="18">
        <v>0</v>
      </c>
      <c r="AL17" s="7">
        <v>0</v>
      </c>
      <c r="AM17" s="17">
        <v>0</v>
      </c>
      <c r="AN17" s="4">
        <v>1</v>
      </c>
      <c r="AO17" s="7">
        <v>53915</v>
      </c>
      <c r="AP17" s="8">
        <v>0</v>
      </c>
      <c r="AQ17" s="7">
        <v>0</v>
      </c>
      <c r="AR17" s="12">
        <v>0</v>
      </c>
      <c r="AS17" s="4">
        <v>1</v>
      </c>
      <c r="AT17" s="7">
        <v>57810</v>
      </c>
      <c r="AU17" s="8">
        <v>3</v>
      </c>
      <c r="AV17" s="7">
        <v>14875</v>
      </c>
      <c r="AW17" s="12">
        <v>0.25730842414807126</v>
      </c>
      <c r="AX17" s="7">
        <v>12095</v>
      </c>
      <c r="AY17" s="12">
        <v>0.20921985815602837</v>
      </c>
      <c r="AZ17" s="14">
        <v>2</v>
      </c>
      <c r="BA17" s="14">
        <v>1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8">
        <v>0</v>
      </c>
      <c r="BH17" s="7">
        <v>0</v>
      </c>
      <c r="BI17" s="17">
        <v>0</v>
      </c>
      <c r="BJ17" s="1">
        <v>1</v>
      </c>
      <c r="BK17" s="7">
        <v>57810</v>
      </c>
      <c r="BL17" s="8">
        <v>0</v>
      </c>
      <c r="BM17" s="7">
        <v>0</v>
      </c>
      <c r="BN17" s="12">
        <v>0</v>
      </c>
      <c r="BO17" s="7">
        <v>0</v>
      </c>
      <c r="BP17" s="12">
        <v>0</v>
      </c>
      <c r="BQ17" s="1"/>
      <c r="BR17" s="1"/>
      <c r="BS17" s="1"/>
      <c r="BT17" s="1"/>
      <c r="BU17" s="1"/>
      <c r="BV17" s="1"/>
      <c r="BW17" s="1"/>
      <c r="BX17" s="1"/>
      <c r="BY17" s="1"/>
      <c r="BZ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</row>
    <row r="18" spans="1:110">
      <c r="A18" t="s">
        <v>327</v>
      </c>
      <c r="B18" s="8" t="s">
        <v>67</v>
      </c>
      <c r="C18" s="8" t="s">
        <v>330</v>
      </c>
      <c r="D18" s="8" t="s">
        <v>67</v>
      </c>
      <c r="E18" s="8">
        <v>1</v>
      </c>
      <c r="F18" s="10" t="s">
        <v>200</v>
      </c>
      <c r="G18" s="8" t="s">
        <v>523</v>
      </c>
      <c r="H18" s="4">
        <v>1</v>
      </c>
      <c r="I18" s="7">
        <v>296754</v>
      </c>
      <c r="J18" s="8">
        <v>2</v>
      </c>
      <c r="K18" s="7">
        <v>11111</v>
      </c>
      <c r="L18" s="12">
        <v>3.7400000000000003E-2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2</v>
      </c>
      <c r="S18" s="18">
        <v>0</v>
      </c>
      <c r="T18" s="18">
        <v>0</v>
      </c>
      <c r="U18" s="7">
        <v>0</v>
      </c>
      <c r="V18" s="17">
        <v>0</v>
      </c>
      <c r="W18" s="4">
        <v>1</v>
      </c>
      <c r="X18" s="7">
        <v>333801</v>
      </c>
      <c r="Y18" s="8">
        <v>6</v>
      </c>
      <c r="Z18" s="7">
        <v>34773</v>
      </c>
      <c r="AA18" s="12">
        <v>0.10417284549776663</v>
      </c>
      <c r="AB18" s="7">
        <v>33004</v>
      </c>
      <c r="AC18" s="12">
        <v>9.8873280787055762E-2</v>
      </c>
      <c r="AD18" s="14">
        <v>1</v>
      </c>
      <c r="AE18" s="14">
        <v>0</v>
      </c>
      <c r="AF18" s="14">
        <v>5</v>
      </c>
      <c r="AG18" s="14">
        <v>0</v>
      </c>
      <c r="AH18" s="14">
        <v>0</v>
      </c>
      <c r="AI18" s="14">
        <v>0</v>
      </c>
      <c r="AJ18" s="14">
        <v>0</v>
      </c>
      <c r="AK18" s="18">
        <v>0</v>
      </c>
      <c r="AL18" s="7">
        <v>0</v>
      </c>
      <c r="AM18" s="17">
        <v>0</v>
      </c>
      <c r="AN18" s="4">
        <v>1</v>
      </c>
      <c r="AO18" s="7">
        <v>375048</v>
      </c>
      <c r="AP18" s="8">
        <v>2</v>
      </c>
      <c r="AQ18" s="7">
        <v>24876</v>
      </c>
      <c r="AR18" s="12">
        <v>6.6299999999999998E-2</v>
      </c>
      <c r="AS18" s="4">
        <v>1</v>
      </c>
      <c r="AT18" s="7">
        <v>402044</v>
      </c>
      <c r="AU18" s="8">
        <v>9</v>
      </c>
      <c r="AV18" s="7">
        <v>70795</v>
      </c>
      <c r="AW18" s="12">
        <v>0.17608769189441953</v>
      </c>
      <c r="AX18" s="7">
        <v>37635</v>
      </c>
      <c r="AY18" s="12">
        <v>9.3609157206673899E-2</v>
      </c>
      <c r="AZ18" s="14">
        <v>1</v>
      </c>
      <c r="BA18" s="14">
        <v>3</v>
      </c>
      <c r="BB18" s="14">
        <v>4</v>
      </c>
      <c r="BC18" s="14">
        <v>0</v>
      </c>
      <c r="BD18" s="14">
        <v>1</v>
      </c>
      <c r="BE18" s="14">
        <v>0</v>
      </c>
      <c r="BF18" s="14">
        <v>0</v>
      </c>
      <c r="BG18" s="18">
        <v>1</v>
      </c>
      <c r="BH18" s="7">
        <v>3410</v>
      </c>
      <c r="BI18" s="17">
        <v>8.4816587239207649E-3</v>
      </c>
      <c r="BJ18" s="1">
        <v>1</v>
      </c>
      <c r="BK18" s="7">
        <v>402044</v>
      </c>
      <c r="BL18" s="8">
        <v>23</v>
      </c>
      <c r="BM18" s="7">
        <v>204970</v>
      </c>
      <c r="BN18" s="12">
        <v>0.50981982071614051</v>
      </c>
      <c r="BO18" s="7">
        <v>11500</v>
      </c>
      <c r="BP18" s="12">
        <v>2.86E-2</v>
      </c>
      <c r="BQ18" s="1"/>
      <c r="BR18" s="1"/>
      <c r="BS18" s="1"/>
      <c r="BT18" s="1"/>
      <c r="BU18" s="1"/>
      <c r="BV18" s="1"/>
      <c r="BW18" s="1"/>
      <c r="BX18" s="1"/>
      <c r="BY18" s="1"/>
      <c r="BZ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</row>
    <row r="19" spans="1:110">
      <c r="A19" s="10" t="s">
        <v>332</v>
      </c>
      <c r="B19" s="8" t="s">
        <v>104</v>
      </c>
      <c r="C19" s="8" t="s">
        <v>331</v>
      </c>
      <c r="D19" s="8" t="s">
        <v>75</v>
      </c>
      <c r="F19" s="10" t="s">
        <v>219</v>
      </c>
      <c r="G19" s="8" t="s">
        <v>74</v>
      </c>
      <c r="H19" s="4">
        <v>1</v>
      </c>
      <c r="I19" s="7">
        <v>218725</v>
      </c>
      <c r="J19" s="8">
        <v>7</v>
      </c>
      <c r="K19" s="7">
        <v>45189</v>
      </c>
      <c r="L19" s="12">
        <v>0.20660000000000001</v>
      </c>
      <c r="M19" s="18">
        <v>0</v>
      </c>
      <c r="N19" s="18">
        <v>0</v>
      </c>
      <c r="O19" s="18">
        <v>5</v>
      </c>
      <c r="P19" s="18">
        <v>2</v>
      </c>
      <c r="Q19" s="18">
        <v>0</v>
      </c>
      <c r="R19" s="18">
        <v>0</v>
      </c>
      <c r="S19" s="18">
        <v>0</v>
      </c>
      <c r="T19" s="18">
        <v>0</v>
      </c>
      <c r="U19" s="7">
        <v>0</v>
      </c>
      <c r="V19" s="17">
        <v>0</v>
      </c>
      <c r="W19" s="4">
        <v>1</v>
      </c>
      <c r="X19" s="7">
        <v>205836</v>
      </c>
      <c r="Y19" s="8">
        <v>10</v>
      </c>
      <c r="Z19" s="7">
        <v>84763</v>
      </c>
      <c r="AA19" s="12">
        <v>0.41179871353893394</v>
      </c>
      <c r="AB19" s="7">
        <v>17160</v>
      </c>
      <c r="AC19" s="12">
        <v>8.3367340989914301E-2</v>
      </c>
      <c r="AD19" s="14">
        <v>6</v>
      </c>
      <c r="AE19" s="14">
        <v>0</v>
      </c>
      <c r="AF19" s="14">
        <v>2</v>
      </c>
      <c r="AG19" s="14">
        <v>1</v>
      </c>
      <c r="AH19" s="14">
        <v>0</v>
      </c>
      <c r="AI19" s="14">
        <v>1</v>
      </c>
      <c r="AJ19" s="14">
        <v>0</v>
      </c>
      <c r="AK19" s="18">
        <v>0</v>
      </c>
      <c r="AL19" s="7">
        <v>0</v>
      </c>
      <c r="AM19" s="17">
        <v>0</v>
      </c>
      <c r="AN19" s="4">
        <v>1</v>
      </c>
      <c r="AO19" s="7">
        <v>221520</v>
      </c>
      <c r="AP19" s="8">
        <v>6</v>
      </c>
      <c r="AQ19" s="7">
        <v>48466</v>
      </c>
      <c r="AR19" s="12">
        <v>0.21879999999999999</v>
      </c>
      <c r="AS19" s="4">
        <v>1</v>
      </c>
      <c r="AT19" s="7">
        <v>219241</v>
      </c>
      <c r="AU19" s="8">
        <v>14</v>
      </c>
      <c r="AV19" s="7">
        <v>110005</v>
      </c>
      <c r="AW19" s="12">
        <v>0.50175377780615849</v>
      </c>
      <c r="AX19" s="7">
        <v>11495</v>
      </c>
      <c r="AY19" s="12">
        <v>5.2430886558627265E-2</v>
      </c>
      <c r="AZ19" s="14">
        <v>11</v>
      </c>
      <c r="BA19" s="14">
        <v>1</v>
      </c>
      <c r="BB19" s="14">
        <v>0</v>
      </c>
      <c r="BC19" s="14">
        <v>1</v>
      </c>
      <c r="BD19" s="14">
        <v>0</v>
      </c>
      <c r="BE19" s="14">
        <v>1</v>
      </c>
      <c r="BF19" s="14">
        <v>0</v>
      </c>
      <c r="BG19" s="18">
        <v>1</v>
      </c>
      <c r="BH19" s="7">
        <v>4615</v>
      </c>
      <c r="BI19" s="17">
        <v>2.1049894864555444E-2</v>
      </c>
      <c r="BJ19" s="1">
        <v>1</v>
      </c>
      <c r="BK19" s="7">
        <v>219241</v>
      </c>
      <c r="BL19" s="8">
        <v>9</v>
      </c>
      <c r="BM19" s="7">
        <v>70080</v>
      </c>
      <c r="BN19" s="12">
        <v>0.31964824097682459</v>
      </c>
      <c r="BO19" s="7">
        <v>12170</v>
      </c>
      <c r="BP19" s="12">
        <v>5.5500000000000001E-2</v>
      </c>
      <c r="BQ19" s="1"/>
      <c r="BR19" s="1"/>
      <c r="BS19" s="1"/>
      <c r="BT19" s="1"/>
      <c r="BU19" s="1"/>
      <c r="BV19" s="1"/>
      <c r="BW19" s="1"/>
      <c r="BX19" s="1"/>
      <c r="BY19" s="1"/>
      <c r="BZ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</row>
    <row r="20" spans="1:110">
      <c r="A20" s="10" t="s">
        <v>332</v>
      </c>
      <c r="B20" s="8" t="s">
        <v>104</v>
      </c>
      <c r="C20" s="8" t="s">
        <v>331</v>
      </c>
      <c r="D20" s="8" t="s">
        <v>75</v>
      </c>
      <c r="E20" s="8">
        <v>1</v>
      </c>
      <c r="F20" s="10" t="s">
        <v>220</v>
      </c>
      <c r="G20" s="8" t="s">
        <v>75</v>
      </c>
      <c r="H20" s="4">
        <v>1</v>
      </c>
      <c r="I20" s="7">
        <v>1643542</v>
      </c>
      <c r="J20" s="8">
        <v>12</v>
      </c>
      <c r="K20" s="7">
        <v>125754</v>
      </c>
      <c r="L20" s="12">
        <v>7.6499999999999999E-2</v>
      </c>
      <c r="M20" s="18">
        <v>0</v>
      </c>
      <c r="N20" s="18">
        <v>0</v>
      </c>
      <c r="O20" s="18">
        <v>10</v>
      </c>
      <c r="P20" s="18">
        <v>0</v>
      </c>
      <c r="Q20" s="18">
        <v>0</v>
      </c>
      <c r="R20" s="18">
        <v>0</v>
      </c>
      <c r="S20" s="18">
        <v>2</v>
      </c>
      <c r="T20" s="18">
        <v>0</v>
      </c>
      <c r="U20" s="7">
        <v>0</v>
      </c>
      <c r="V20" s="17">
        <v>0</v>
      </c>
      <c r="W20" s="4">
        <v>1</v>
      </c>
      <c r="X20" s="7">
        <v>1503884</v>
      </c>
      <c r="Y20" s="8">
        <v>45</v>
      </c>
      <c r="Z20" s="7">
        <v>345927</v>
      </c>
      <c r="AA20" s="12">
        <v>0.23002239534432176</v>
      </c>
      <c r="AB20" s="7">
        <v>80827</v>
      </c>
      <c r="AC20" s="12">
        <v>5.3745501647733472E-2</v>
      </c>
      <c r="AD20" s="14">
        <v>9</v>
      </c>
      <c r="AE20" s="14">
        <v>0</v>
      </c>
      <c r="AF20" s="14">
        <v>33</v>
      </c>
      <c r="AG20" s="14">
        <v>0</v>
      </c>
      <c r="AH20" s="14">
        <v>0</v>
      </c>
      <c r="AI20" s="14">
        <v>3</v>
      </c>
      <c r="AJ20" s="14">
        <v>0</v>
      </c>
      <c r="AK20" s="18">
        <v>1</v>
      </c>
      <c r="AL20" s="7">
        <v>7303</v>
      </c>
      <c r="AM20" s="17">
        <v>4.8560926241651616E-3</v>
      </c>
      <c r="AN20" s="4">
        <v>1</v>
      </c>
      <c r="AO20" s="7">
        <v>1605602</v>
      </c>
      <c r="AP20" s="8">
        <v>15</v>
      </c>
      <c r="AQ20" s="7">
        <v>166239</v>
      </c>
      <c r="AR20" s="12">
        <v>0.10349999999999999</v>
      </c>
      <c r="AS20" s="4">
        <v>1</v>
      </c>
      <c r="AT20" s="7">
        <v>1611013</v>
      </c>
      <c r="AU20" s="8">
        <v>47</v>
      </c>
      <c r="AV20" s="7">
        <v>455375</v>
      </c>
      <c r="AW20" s="12">
        <v>0.28266376497272211</v>
      </c>
      <c r="AX20" s="7">
        <v>57885</v>
      </c>
      <c r="AY20" s="12">
        <v>3.5930808752008832E-2</v>
      </c>
      <c r="AZ20" s="14">
        <v>16</v>
      </c>
      <c r="BA20" s="14">
        <v>0</v>
      </c>
      <c r="BB20" s="14">
        <v>29</v>
      </c>
      <c r="BC20" s="14">
        <v>0</v>
      </c>
      <c r="BD20" s="14">
        <v>0</v>
      </c>
      <c r="BE20" s="14">
        <v>2</v>
      </c>
      <c r="BF20" s="14">
        <v>0</v>
      </c>
      <c r="BG20" s="18">
        <v>0</v>
      </c>
      <c r="BH20" s="7">
        <v>0</v>
      </c>
      <c r="BI20" s="17">
        <v>0</v>
      </c>
      <c r="BJ20" s="1">
        <v>1</v>
      </c>
      <c r="BK20" s="7">
        <v>1611013</v>
      </c>
      <c r="BL20" s="8">
        <v>58</v>
      </c>
      <c r="BM20" s="7">
        <v>534400</v>
      </c>
      <c r="BN20" s="12">
        <v>0.33171675213049179</v>
      </c>
      <c r="BO20" s="7">
        <v>77680</v>
      </c>
      <c r="BP20" s="12">
        <v>4.82E-2</v>
      </c>
      <c r="BQ20" s="1"/>
      <c r="BR20" s="1"/>
      <c r="BS20" s="1"/>
      <c r="BT20" s="1"/>
      <c r="BU20" s="1"/>
      <c r="BV20" s="1"/>
      <c r="BW20" s="1"/>
      <c r="BX20" s="1"/>
      <c r="BY20" s="1"/>
      <c r="BZ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</row>
    <row r="21" spans="1:110">
      <c r="A21" s="2" t="s">
        <v>332</v>
      </c>
      <c r="B21" s="1" t="s">
        <v>104</v>
      </c>
      <c r="C21" s="1" t="s">
        <v>331</v>
      </c>
      <c r="D21" s="8" t="s">
        <v>75</v>
      </c>
      <c r="E21" s="1"/>
      <c r="F21" s="2" t="s">
        <v>222</v>
      </c>
      <c r="G21" s="1" t="s">
        <v>76</v>
      </c>
      <c r="H21" s="4"/>
      <c r="I21" s="3"/>
      <c r="J21" s="1"/>
      <c r="K21" s="3"/>
      <c r="L21" s="13"/>
      <c r="M21" s="18"/>
      <c r="N21" s="18"/>
      <c r="O21" s="18"/>
      <c r="P21" s="18"/>
      <c r="Q21" s="18"/>
      <c r="R21" s="18"/>
      <c r="S21" s="18"/>
      <c r="T21" s="18"/>
      <c r="U21" s="3"/>
      <c r="V21" s="17"/>
      <c r="W21" s="4">
        <v>1</v>
      </c>
      <c r="X21" s="3">
        <v>46428</v>
      </c>
      <c r="Y21" s="1">
        <v>2</v>
      </c>
      <c r="Z21" s="3">
        <v>8521</v>
      </c>
      <c r="AA21" s="13">
        <v>0.18353148961833377</v>
      </c>
      <c r="AB21" s="3">
        <v>2051</v>
      </c>
      <c r="AC21" s="12">
        <v>4.4175928319117777E-2</v>
      </c>
      <c r="AD21" s="14">
        <v>2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8">
        <v>0</v>
      </c>
      <c r="AL21" s="3">
        <v>0</v>
      </c>
      <c r="AM21" s="17">
        <v>0</v>
      </c>
      <c r="AN21" s="4">
        <v>1</v>
      </c>
      <c r="AO21" s="3">
        <v>58663</v>
      </c>
      <c r="AP21" s="1">
        <v>1</v>
      </c>
      <c r="AQ21" s="3">
        <v>5693</v>
      </c>
      <c r="AR21" s="13">
        <v>9.7000000000000003E-2</v>
      </c>
      <c r="AS21" s="4">
        <v>1</v>
      </c>
      <c r="AT21" s="3">
        <v>61858</v>
      </c>
      <c r="AU21" s="1">
        <v>2</v>
      </c>
      <c r="AV21" s="3">
        <v>8805</v>
      </c>
      <c r="AW21" s="13">
        <v>0.14234213844611854</v>
      </c>
      <c r="AX21" s="3">
        <v>4310</v>
      </c>
      <c r="AY21" s="12">
        <v>6.9675708881632131E-2</v>
      </c>
      <c r="AZ21" s="14">
        <v>1</v>
      </c>
      <c r="BA21" s="14">
        <v>0</v>
      </c>
      <c r="BB21" s="14">
        <v>1</v>
      </c>
      <c r="BC21" s="14">
        <v>0</v>
      </c>
      <c r="BD21" s="14">
        <v>0</v>
      </c>
      <c r="BE21" s="14">
        <v>0</v>
      </c>
      <c r="BF21" s="14">
        <v>0</v>
      </c>
      <c r="BG21" s="18">
        <v>0</v>
      </c>
      <c r="BH21" s="3">
        <v>0</v>
      </c>
      <c r="BI21" s="17">
        <v>0</v>
      </c>
      <c r="BJ21" s="1">
        <v>1</v>
      </c>
      <c r="BK21" s="3">
        <v>61858</v>
      </c>
      <c r="BL21" s="1">
        <v>3</v>
      </c>
      <c r="BM21" s="3">
        <v>24835</v>
      </c>
      <c r="BN21" s="13">
        <v>0.40148404410100552</v>
      </c>
      <c r="BO21" s="3">
        <v>3535</v>
      </c>
      <c r="BP21" s="12">
        <v>5.7099999999999998E-2</v>
      </c>
      <c r="BQ21" s="1"/>
      <c r="BR21" s="1"/>
      <c r="BS21" s="1"/>
      <c r="BT21" s="1"/>
      <c r="BU21" s="1"/>
      <c r="BV21" s="1"/>
      <c r="BW21" s="1"/>
      <c r="BX21" s="1"/>
      <c r="BY21" s="1"/>
      <c r="BZ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</row>
    <row r="22" spans="1:110">
      <c r="A22" s="10" t="s">
        <v>332</v>
      </c>
      <c r="B22" s="8" t="s">
        <v>104</v>
      </c>
      <c r="C22" s="8" t="s">
        <v>331</v>
      </c>
      <c r="D22" s="8" t="s">
        <v>75</v>
      </c>
      <c r="F22" s="10" t="s">
        <v>224</v>
      </c>
      <c r="G22" s="8" t="s">
        <v>77</v>
      </c>
      <c r="H22" s="4">
        <v>1</v>
      </c>
      <c r="I22" s="7">
        <v>84927</v>
      </c>
      <c r="J22" s="8">
        <v>0</v>
      </c>
      <c r="K22" s="7">
        <v>0</v>
      </c>
      <c r="L22" s="12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18">
        <f>SUM(Tabla2[[#This Row],[EST_BBVV91]:[ESTyPARyVIV_BBVV91]])</f>
        <v>0</v>
      </c>
      <c r="U22" s="7">
        <v>0</v>
      </c>
      <c r="V22" s="17">
        <v>0</v>
      </c>
      <c r="W22" s="4">
        <v>1</v>
      </c>
      <c r="X22" s="7">
        <v>79979</v>
      </c>
      <c r="Y22" s="8">
        <v>3</v>
      </c>
      <c r="Z22" s="7">
        <v>18363</v>
      </c>
      <c r="AA22" s="12">
        <v>0.2295977694144713</v>
      </c>
      <c r="AB22" s="7">
        <v>8391</v>
      </c>
      <c r="AC22" s="12">
        <v>0.10491504019805199</v>
      </c>
      <c r="AD22" s="14">
        <v>3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8">
        <v>0</v>
      </c>
      <c r="AL22" s="7">
        <v>0</v>
      </c>
      <c r="AM22" s="17">
        <v>0</v>
      </c>
      <c r="AN22" s="4">
        <v>1</v>
      </c>
      <c r="AO22" s="7">
        <v>84289</v>
      </c>
      <c r="AP22" s="8">
        <v>2</v>
      </c>
      <c r="AQ22" s="7">
        <v>19290</v>
      </c>
      <c r="AR22" s="12">
        <v>0.22889999999999999</v>
      </c>
      <c r="AS22" s="4">
        <v>1</v>
      </c>
      <c r="AT22" s="7">
        <v>86504</v>
      </c>
      <c r="AU22" s="8">
        <v>7</v>
      </c>
      <c r="AV22" s="7">
        <v>45085</v>
      </c>
      <c r="AW22" s="12">
        <v>0.52118977157125679</v>
      </c>
      <c r="AX22" s="7">
        <v>10270</v>
      </c>
      <c r="AY22" s="12">
        <v>0.1187228336261907</v>
      </c>
      <c r="AZ22" s="14">
        <v>6</v>
      </c>
      <c r="BA22" s="14">
        <v>0</v>
      </c>
      <c r="BB22" s="14">
        <v>1</v>
      </c>
      <c r="BC22" s="14">
        <v>0</v>
      </c>
      <c r="BD22" s="14">
        <v>0</v>
      </c>
      <c r="BE22" s="14">
        <v>0</v>
      </c>
      <c r="BF22" s="14">
        <v>0</v>
      </c>
      <c r="BG22" s="18">
        <v>0</v>
      </c>
      <c r="BH22" s="7">
        <v>0</v>
      </c>
      <c r="BI22" s="17">
        <v>0</v>
      </c>
      <c r="BJ22" s="1">
        <v>1</v>
      </c>
      <c r="BK22" s="7">
        <v>86504</v>
      </c>
      <c r="BL22" s="8">
        <v>4</v>
      </c>
      <c r="BM22" s="7">
        <v>46330</v>
      </c>
      <c r="BN22" s="12">
        <v>0.53558216961065386</v>
      </c>
      <c r="BO22" s="7">
        <v>1150</v>
      </c>
      <c r="BP22" s="12">
        <v>1.3299999999999999E-2</v>
      </c>
      <c r="BQ22" s="1"/>
      <c r="BR22" s="1"/>
      <c r="BS22" s="1"/>
      <c r="BT22" s="1"/>
      <c r="BU22" s="1"/>
      <c r="BV22" s="1"/>
      <c r="BW22" s="1"/>
      <c r="BX22" s="1"/>
      <c r="BY22" s="1"/>
      <c r="BZ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</row>
    <row r="23" spans="1:110">
      <c r="A23" s="10" t="s">
        <v>332</v>
      </c>
      <c r="B23" s="8" t="s">
        <v>104</v>
      </c>
      <c r="C23" s="8" t="s">
        <v>331</v>
      </c>
      <c r="D23" s="8" t="s">
        <v>75</v>
      </c>
      <c r="F23" s="10" t="s">
        <v>226</v>
      </c>
      <c r="G23" s="8" t="s">
        <v>78</v>
      </c>
      <c r="H23" s="4">
        <v>1</v>
      </c>
      <c r="I23" s="7">
        <v>51873</v>
      </c>
      <c r="J23" s="8">
        <v>0</v>
      </c>
      <c r="K23" s="7">
        <v>0</v>
      </c>
      <c r="L23" s="12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18">
        <f>SUM(Tabla2[[#This Row],[EST_BBVV91]:[ESTyPARyVIV_BBVV91]])</f>
        <v>0</v>
      </c>
      <c r="U23" s="7">
        <v>0</v>
      </c>
      <c r="V23" s="17">
        <v>0</v>
      </c>
      <c r="W23" s="4">
        <v>1</v>
      </c>
      <c r="X23" s="7">
        <v>53105</v>
      </c>
      <c r="Y23" s="8">
        <v>0</v>
      </c>
      <c r="Z23" s="7">
        <v>0</v>
      </c>
      <c r="AA23" s="12">
        <v>0</v>
      </c>
      <c r="AB23" s="7">
        <v>7280</v>
      </c>
      <c r="AC23" s="12">
        <v>0.13708690330477355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18">
        <v>0</v>
      </c>
      <c r="AL23" s="7">
        <v>0</v>
      </c>
      <c r="AM23" s="17">
        <v>0</v>
      </c>
      <c r="AN23" s="4">
        <v>1</v>
      </c>
      <c r="AO23" s="7">
        <v>58940</v>
      </c>
      <c r="AP23" s="8">
        <v>3</v>
      </c>
      <c r="AQ23" s="7">
        <v>14254</v>
      </c>
      <c r="AR23" s="12">
        <v>0.24179999999999999</v>
      </c>
      <c r="AS23" s="4">
        <v>1</v>
      </c>
      <c r="AT23" s="7">
        <v>59571</v>
      </c>
      <c r="AU23" s="8">
        <v>4</v>
      </c>
      <c r="AV23" s="7">
        <v>19575</v>
      </c>
      <c r="AW23" s="12">
        <v>0.32859948632723979</v>
      </c>
      <c r="AX23" s="7">
        <v>5060</v>
      </c>
      <c r="AY23" s="12">
        <v>8.4940659045508723E-2</v>
      </c>
      <c r="AZ23" s="8">
        <v>2</v>
      </c>
      <c r="BA23" s="8">
        <v>1</v>
      </c>
      <c r="BB23" s="8">
        <v>1</v>
      </c>
      <c r="BC23" s="8">
        <v>0</v>
      </c>
      <c r="BD23" s="8">
        <v>0</v>
      </c>
      <c r="BE23" s="8">
        <v>0</v>
      </c>
      <c r="BF23" s="8">
        <v>0</v>
      </c>
      <c r="BG23" s="18">
        <v>0</v>
      </c>
      <c r="BH23" s="7">
        <v>0</v>
      </c>
      <c r="BI23" s="17">
        <v>0</v>
      </c>
      <c r="BJ23" s="1">
        <v>1</v>
      </c>
      <c r="BK23" s="7">
        <v>59571</v>
      </c>
      <c r="BL23" s="8">
        <v>4</v>
      </c>
      <c r="BM23" s="7">
        <v>21085</v>
      </c>
      <c r="BN23" s="12">
        <v>0.35394739050880464</v>
      </c>
      <c r="BO23" s="7">
        <v>6895</v>
      </c>
      <c r="BP23" s="12">
        <v>0.1157</v>
      </c>
      <c r="BQ23" s="1"/>
      <c r="BR23" s="1"/>
      <c r="BS23" s="1"/>
      <c r="BT23" s="1"/>
      <c r="BU23" s="1"/>
      <c r="BV23" s="1"/>
      <c r="BW23" s="1"/>
      <c r="BX23" s="1"/>
      <c r="BY23" s="1"/>
      <c r="BZ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</row>
    <row r="24" spans="1:110">
      <c r="A24" s="10" t="s">
        <v>332</v>
      </c>
      <c r="B24" s="8" t="s">
        <v>104</v>
      </c>
      <c r="C24" s="8" t="s">
        <v>331</v>
      </c>
      <c r="D24" s="8" t="s">
        <v>75</v>
      </c>
      <c r="F24" s="10" t="s">
        <v>227</v>
      </c>
      <c r="G24" s="8" t="s">
        <v>79</v>
      </c>
      <c r="H24" s="4">
        <v>1</v>
      </c>
      <c r="I24" s="7">
        <v>272578</v>
      </c>
      <c r="J24" s="8">
        <v>1</v>
      </c>
      <c r="K24" s="7">
        <v>4974</v>
      </c>
      <c r="L24" s="12">
        <v>1.8200000000000001E-2</v>
      </c>
      <c r="M24" s="18">
        <v>0</v>
      </c>
      <c r="N24" s="18">
        <v>0</v>
      </c>
      <c r="O24" s="18">
        <v>1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7">
        <v>0</v>
      </c>
      <c r="V24" s="17">
        <v>0</v>
      </c>
      <c r="W24" s="4">
        <v>1</v>
      </c>
      <c r="X24" s="7">
        <v>239019</v>
      </c>
      <c r="Y24" s="8">
        <v>12</v>
      </c>
      <c r="Z24" s="7">
        <v>84917</v>
      </c>
      <c r="AA24" s="12">
        <v>0.35527301176893888</v>
      </c>
      <c r="AB24" s="7">
        <v>22080</v>
      </c>
      <c r="AC24" s="12">
        <v>9.2377593413075942E-2</v>
      </c>
      <c r="AD24" s="14">
        <v>6</v>
      </c>
      <c r="AE24" s="14">
        <v>0</v>
      </c>
      <c r="AF24" s="14">
        <v>3</v>
      </c>
      <c r="AG24" s="14">
        <v>0</v>
      </c>
      <c r="AH24" s="14">
        <v>0</v>
      </c>
      <c r="AI24" s="14">
        <v>3</v>
      </c>
      <c r="AJ24" s="14">
        <v>0</v>
      </c>
      <c r="AK24" s="18">
        <v>0</v>
      </c>
      <c r="AL24" s="7">
        <v>0</v>
      </c>
      <c r="AM24" s="17">
        <v>0</v>
      </c>
      <c r="AN24" s="4">
        <v>1</v>
      </c>
      <c r="AO24" s="7">
        <v>248150</v>
      </c>
      <c r="AP24" s="8">
        <v>9</v>
      </c>
      <c r="AQ24" s="7">
        <v>87180</v>
      </c>
      <c r="AR24" s="12">
        <v>0.3513</v>
      </c>
      <c r="AS24" s="4">
        <v>1</v>
      </c>
      <c r="AT24" s="7">
        <v>256509</v>
      </c>
      <c r="AU24" s="8">
        <v>20</v>
      </c>
      <c r="AV24" s="7">
        <v>164445</v>
      </c>
      <c r="AW24" s="12">
        <v>0.64108861677368045</v>
      </c>
      <c r="AX24" s="7">
        <v>16390</v>
      </c>
      <c r="AY24" s="12">
        <v>6.3896393498863585E-2</v>
      </c>
      <c r="AZ24" s="14">
        <v>9</v>
      </c>
      <c r="BA24" s="14">
        <v>0</v>
      </c>
      <c r="BB24" s="14">
        <v>8</v>
      </c>
      <c r="BC24" s="14">
        <v>0</v>
      </c>
      <c r="BD24" s="14">
        <v>0</v>
      </c>
      <c r="BE24" s="14">
        <v>3</v>
      </c>
      <c r="BF24" s="14">
        <v>0</v>
      </c>
      <c r="BG24" s="18">
        <v>0</v>
      </c>
      <c r="BH24" s="7">
        <v>0</v>
      </c>
      <c r="BI24" s="17">
        <v>0</v>
      </c>
      <c r="BJ24" s="1">
        <v>1</v>
      </c>
      <c r="BK24" s="7">
        <v>256509</v>
      </c>
      <c r="BL24" s="8">
        <v>17</v>
      </c>
      <c r="BM24" s="7">
        <v>171435</v>
      </c>
      <c r="BN24" s="12">
        <v>0.66833912260388528</v>
      </c>
      <c r="BO24" s="7">
        <v>7095</v>
      </c>
      <c r="BP24" s="12">
        <v>2.7699999999999999E-2</v>
      </c>
      <c r="BQ24" s="1"/>
      <c r="BR24" s="1"/>
      <c r="BS24" s="1"/>
      <c r="BT24" s="1"/>
      <c r="BU24" s="1"/>
      <c r="BV24" s="1"/>
      <c r="BW24" s="1"/>
      <c r="BX24" s="1"/>
      <c r="BY24" s="1"/>
      <c r="BZ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</row>
    <row r="25" spans="1:110">
      <c r="A25" s="10" t="s">
        <v>332</v>
      </c>
      <c r="B25" s="8" t="s">
        <v>104</v>
      </c>
      <c r="C25" s="8" t="s">
        <v>331</v>
      </c>
      <c r="D25" s="8" t="s">
        <v>75</v>
      </c>
      <c r="F25" s="10" t="s">
        <v>230</v>
      </c>
      <c r="G25" s="8" t="s">
        <v>80</v>
      </c>
      <c r="H25" s="4">
        <v>1</v>
      </c>
      <c r="I25" s="7">
        <v>66320</v>
      </c>
      <c r="J25" s="8">
        <v>2</v>
      </c>
      <c r="K25" s="7">
        <v>10415</v>
      </c>
      <c r="L25" s="12">
        <v>0.157</v>
      </c>
      <c r="M25" s="18">
        <v>0</v>
      </c>
      <c r="N25" s="18">
        <v>0</v>
      </c>
      <c r="O25" s="18">
        <v>2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7">
        <v>0</v>
      </c>
      <c r="V25" s="17">
        <v>0</v>
      </c>
      <c r="W25" s="4">
        <v>1</v>
      </c>
      <c r="X25" s="7">
        <v>63981</v>
      </c>
      <c r="Y25" s="8">
        <v>1</v>
      </c>
      <c r="Z25" s="7">
        <v>9136</v>
      </c>
      <c r="AA25" s="12">
        <v>0.14279239149122397</v>
      </c>
      <c r="AB25" s="7">
        <v>13355</v>
      </c>
      <c r="AC25" s="12">
        <v>0.20873384285959895</v>
      </c>
      <c r="AD25" s="14">
        <v>0</v>
      </c>
      <c r="AE25" s="14">
        <v>0</v>
      </c>
      <c r="AF25" s="14">
        <v>1</v>
      </c>
      <c r="AG25" s="14">
        <v>0</v>
      </c>
      <c r="AH25" s="14">
        <v>0</v>
      </c>
      <c r="AI25" s="14">
        <v>0</v>
      </c>
      <c r="AJ25" s="14">
        <v>0</v>
      </c>
      <c r="AK25" s="18">
        <v>0</v>
      </c>
      <c r="AL25" s="7">
        <v>0</v>
      </c>
      <c r="AM25" s="17">
        <v>0</v>
      </c>
      <c r="AN25" s="4">
        <v>1</v>
      </c>
      <c r="AO25" s="7">
        <v>71772</v>
      </c>
      <c r="AP25" s="8">
        <v>1</v>
      </c>
      <c r="AQ25" s="7">
        <v>11272</v>
      </c>
      <c r="AR25" s="12">
        <v>0.15709999999999999</v>
      </c>
      <c r="AS25" s="4">
        <v>1</v>
      </c>
      <c r="AT25" s="7">
        <v>76311</v>
      </c>
      <c r="AU25" s="8">
        <v>4</v>
      </c>
      <c r="AV25" s="7">
        <v>20660</v>
      </c>
      <c r="AW25" s="12">
        <v>0.27073423228630211</v>
      </c>
      <c r="AX25" s="7">
        <v>10925</v>
      </c>
      <c r="AY25" s="12">
        <v>0.1431641571988311</v>
      </c>
      <c r="AZ25" s="14">
        <v>1</v>
      </c>
      <c r="BA25" s="14">
        <v>1</v>
      </c>
      <c r="BB25" s="14">
        <v>2</v>
      </c>
      <c r="BC25" s="14">
        <v>0</v>
      </c>
      <c r="BD25" s="14">
        <v>0</v>
      </c>
      <c r="BE25" s="14">
        <v>0</v>
      </c>
      <c r="BF25" s="14">
        <v>0</v>
      </c>
      <c r="BG25" s="18">
        <v>0</v>
      </c>
      <c r="BH25" s="7">
        <v>0</v>
      </c>
      <c r="BI25" s="17">
        <v>0</v>
      </c>
      <c r="BJ25" s="1">
        <v>1</v>
      </c>
      <c r="BK25" s="7">
        <v>76311</v>
      </c>
      <c r="BL25" s="8">
        <v>4</v>
      </c>
      <c r="BM25" s="7">
        <v>30855</v>
      </c>
      <c r="BN25" s="12">
        <v>0.40433227188740811</v>
      </c>
      <c r="BO25" s="7">
        <v>1835</v>
      </c>
      <c r="BP25" s="12">
        <v>2.4E-2</v>
      </c>
      <c r="BQ25" s="1"/>
      <c r="BR25" s="1"/>
      <c r="BS25" s="1"/>
      <c r="BT25" s="1"/>
      <c r="BU25" s="1"/>
      <c r="BV25" s="1"/>
      <c r="BW25" s="1"/>
      <c r="BX25" s="1"/>
      <c r="BY25" s="1"/>
      <c r="BZ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</row>
    <row r="26" spans="1:110">
      <c r="A26" s="10" t="s">
        <v>332</v>
      </c>
      <c r="B26" s="8" t="s">
        <v>104</v>
      </c>
      <c r="C26" s="8" t="s">
        <v>331</v>
      </c>
      <c r="D26" s="8" t="s">
        <v>75</v>
      </c>
      <c r="F26" s="10" t="s">
        <v>231</v>
      </c>
      <c r="G26" s="8" t="s">
        <v>81</v>
      </c>
      <c r="H26" s="4">
        <v>1</v>
      </c>
      <c r="I26" s="7">
        <v>101510</v>
      </c>
      <c r="J26" s="8">
        <v>2</v>
      </c>
      <c r="K26" s="7">
        <v>15386</v>
      </c>
      <c r="L26" s="12">
        <v>0.15160000000000001</v>
      </c>
      <c r="M26" s="18">
        <v>0</v>
      </c>
      <c r="N26" s="18">
        <v>0</v>
      </c>
      <c r="O26" s="18">
        <v>1</v>
      </c>
      <c r="P26" s="18">
        <v>0</v>
      </c>
      <c r="Q26" s="18">
        <v>0</v>
      </c>
      <c r="R26" s="18">
        <v>1</v>
      </c>
      <c r="S26" s="18">
        <v>0</v>
      </c>
      <c r="T26" s="18">
        <v>0</v>
      </c>
      <c r="U26" s="7">
        <v>0</v>
      </c>
      <c r="V26" s="17">
        <v>0</v>
      </c>
      <c r="W26" s="4">
        <v>1</v>
      </c>
      <c r="X26" s="7">
        <v>106358</v>
      </c>
      <c r="Y26" s="8">
        <v>5</v>
      </c>
      <c r="Z26" s="7">
        <v>46788</v>
      </c>
      <c r="AA26" s="12">
        <v>0.43991049098328289</v>
      </c>
      <c r="AB26" s="7">
        <v>1169</v>
      </c>
      <c r="AC26" s="12">
        <v>1.0991180729235224E-2</v>
      </c>
      <c r="AD26" s="14">
        <v>3</v>
      </c>
      <c r="AE26" s="14">
        <v>0</v>
      </c>
      <c r="AF26" s="14">
        <v>2</v>
      </c>
      <c r="AG26" s="14">
        <v>0</v>
      </c>
      <c r="AH26" s="14">
        <v>0</v>
      </c>
      <c r="AI26" s="14">
        <v>0</v>
      </c>
      <c r="AJ26" s="14">
        <v>0</v>
      </c>
      <c r="AK26" s="18">
        <v>0</v>
      </c>
      <c r="AL26" s="7">
        <v>0</v>
      </c>
      <c r="AM26" s="17">
        <v>0</v>
      </c>
      <c r="AN26" s="4">
        <v>1</v>
      </c>
      <c r="AO26" s="7">
        <v>118748</v>
      </c>
      <c r="AP26" s="8">
        <v>2</v>
      </c>
      <c r="AQ26" s="7">
        <v>34801</v>
      </c>
      <c r="AR26" s="12">
        <v>0.29310000000000003</v>
      </c>
      <c r="AS26" s="4">
        <v>1</v>
      </c>
      <c r="AT26" s="7">
        <v>123367</v>
      </c>
      <c r="AU26" s="8">
        <v>10</v>
      </c>
      <c r="AV26" s="7">
        <v>75635</v>
      </c>
      <c r="AW26" s="12">
        <v>0.61308939992056222</v>
      </c>
      <c r="AX26" s="7">
        <v>3435</v>
      </c>
      <c r="AY26" s="12">
        <v>2.7843750759927694E-2</v>
      </c>
      <c r="AZ26" s="14">
        <v>7</v>
      </c>
      <c r="BA26" s="14">
        <v>0</v>
      </c>
      <c r="BB26" s="14">
        <v>2</v>
      </c>
      <c r="BC26" s="14">
        <v>1</v>
      </c>
      <c r="BD26" s="14">
        <v>0</v>
      </c>
      <c r="BE26" s="14">
        <v>0</v>
      </c>
      <c r="BF26" s="14">
        <v>0</v>
      </c>
      <c r="BG26" s="18">
        <v>0</v>
      </c>
      <c r="BH26" s="7">
        <v>0</v>
      </c>
      <c r="BI26" s="17">
        <v>0</v>
      </c>
      <c r="BJ26" s="1">
        <v>1</v>
      </c>
      <c r="BK26" s="7">
        <v>123367</v>
      </c>
      <c r="BL26" s="8">
        <v>3</v>
      </c>
      <c r="BM26" s="7">
        <v>29220</v>
      </c>
      <c r="BN26" s="12">
        <v>0.23685426410628449</v>
      </c>
      <c r="BO26" s="7">
        <v>6475</v>
      </c>
      <c r="BP26" s="12">
        <v>5.2499999999999998E-2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</row>
    <row r="27" spans="1:110">
      <c r="A27" s="2" t="s">
        <v>332</v>
      </c>
      <c r="B27" s="1" t="s">
        <v>104</v>
      </c>
      <c r="C27" s="1" t="s">
        <v>331</v>
      </c>
      <c r="D27" s="8" t="s">
        <v>75</v>
      </c>
      <c r="E27" s="1"/>
      <c r="F27" s="2" t="s">
        <v>232</v>
      </c>
      <c r="G27" s="1" t="s">
        <v>82</v>
      </c>
      <c r="H27" s="4"/>
      <c r="I27" s="3"/>
      <c r="J27" s="1"/>
      <c r="K27" s="3"/>
      <c r="L27" s="13"/>
      <c r="M27" s="18"/>
      <c r="N27" s="18"/>
      <c r="O27" s="18"/>
      <c r="P27" s="18"/>
      <c r="Q27" s="18"/>
      <c r="R27" s="18"/>
      <c r="S27" s="18"/>
      <c r="T27" s="18"/>
      <c r="U27" s="3"/>
      <c r="V27" s="17"/>
      <c r="W27" s="4">
        <v>1</v>
      </c>
      <c r="X27" s="3">
        <v>47270</v>
      </c>
      <c r="Y27" s="1">
        <v>0</v>
      </c>
      <c r="Z27" s="3">
        <v>0</v>
      </c>
      <c r="AA27" s="13">
        <v>0</v>
      </c>
      <c r="AB27" s="3">
        <v>1851</v>
      </c>
      <c r="AC27" s="12">
        <v>3.9158028347789295E-2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18">
        <v>0</v>
      </c>
      <c r="AL27" s="3">
        <v>0</v>
      </c>
      <c r="AM27" s="17">
        <v>0</v>
      </c>
      <c r="AN27" s="4">
        <v>1</v>
      </c>
      <c r="AO27" s="3">
        <v>51713</v>
      </c>
      <c r="AP27" s="1">
        <v>1</v>
      </c>
      <c r="AQ27" s="3">
        <v>3928</v>
      </c>
      <c r="AR27" s="13">
        <v>7.5999999999999998E-2</v>
      </c>
      <c r="AS27" s="4">
        <v>1</v>
      </c>
      <c r="AT27" s="3">
        <v>52096</v>
      </c>
      <c r="AU27" s="1">
        <v>3</v>
      </c>
      <c r="AV27" s="3">
        <v>14015</v>
      </c>
      <c r="AW27" s="13">
        <v>0.26902257371007371</v>
      </c>
      <c r="AX27" s="3">
        <v>5375</v>
      </c>
      <c r="AY27" s="12">
        <v>0.10317490786240786</v>
      </c>
      <c r="AZ27" s="8">
        <v>3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18">
        <v>0</v>
      </c>
      <c r="BH27" s="3">
        <v>0</v>
      </c>
      <c r="BI27" s="17">
        <v>0</v>
      </c>
      <c r="BJ27" s="1">
        <v>1</v>
      </c>
      <c r="BK27" s="3">
        <v>52096</v>
      </c>
      <c r="BL27" s="1">
        <v>3</v>
      </c>
      <c r="BM27" s="3">
        <v>16895</v>
      </c>
      <c r="BN27" s="13">
        <v>0.32430512899262898</v>
      </c>
      <c r="BO27" s="3">
        <v>0</v>
      </c>
      <c r="BP27" s="12">
        <v>0</v>
      </c>
      <c r="BQ27" s="1"/>
      <c r="BR27" s="1"/>
      <c r="BS27" s="1"/>
      <c r="BT27" s="1"/>
      <c r="BU27" s="1"/>
      <c r="BV27" s="1"/>
      <c r="BW27" s="1"/>
      <c r="BX27" s="1"/>
      <c r="BY27" s="1"/>
      <c r="BZ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</row>
    <row r="28" spans="1:110">
      <c r="A28" s="10" t="s">
        <v>332</v>
      </c>
      <c r="B28" s="8" t="s">
        <v>104</v>
      </c>
      <c r="C28" s="8" t="s">
        <v>331</v>
      </c>
      <c r="D28" s="8" t="s">
        <v>75</v>
      </c>
      <c r="F28" s="10" t="s">
        <v>235</v>
      </c>
      <c r="G28" s="8" t="s">
        <v>83</v>
      </c>
      <c r="H28" s="4">
        <v>1</v>
      </c>
      <c r="I28" s="7">
        <v>64312</v>
      </c>
      <c r="J28" s="8">
        <v>1</v>
      </c>
      <c r="K28" s="7">
        <v>9872</v>
      </c>
      <c r="L28" s="12">
        <v>0.1535</v>
      </c>
      <c r="M28" s="18">
        <v>0</v>
      </c>
      <c r="N28" s="18">
        <v>0</v>
      </c>
      <c r="O28" s="18">
        <v>0</v>
      </c>
      <c r="P28" s="18">
        <v>1</v>
      </c>
      <c r="Q28" s="18">
        <v>0</v>
      </c>
      <c r="R28" s="18">
        <v>0</v>
      </c>
      <c r="S28" s="18">
        <v>0</v>
      </c>
      <c r="T28" s="18">
        <v>0</v>
      </c>
      <c r="U28" s="7">
        <v>0</v>
      </c>
      <c r="V28" s="17">
        <v>0</v>
      </c>
      <c r="W28" s="4">
        <v>1</v>
      </c>
      <c r="X28" s="7">
        <v>61818</v>
      </c>
      <c r="Y28" s="8">
        <v>1</v>
      </c>
      <c r="Z28" s="7">
        <v>7918</v>
      </c>
      <c r="AA28" s="12">
        <v>0.12808567084020836</v>
      </c>
      <c r="AB28" s="7">
        <v>11762</v>
      </c>
      <c r="AC28" s="12">
        <v>0.19026820667119609</v>
      </c>
      <c r="AD28" s="14">
        <v>1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8">
        <v>0</v>
      </c>
      <c r="AL28" s="7">
        <v>0</v>
      </c>
      <c r="AM28" s="17">
        <v>0</v>
      </c>
      <c r="AN28" s="4">
        <v>1</v>
      </c>
      <c r="AO28" s="7">
        <v>63069</v>
      </c>
      <c r="AP28" s="8">
        <v>0</v>
      </c>
      <c r="AQ28" s="7">
        <v>0</v>
      </c>
      <c r="AR28" s="12">
        <v>0</v>
      </c>
      <c r="AS28" s="4">
        <v>1</v>
      </c>
      <c r="AT28" s="7">
        <v>62981</v>
      </c>
      <c r="AU28" s="8">
        <v>4</v>
      </c>
      <c r="AV28" s="7">
        <v>22165</v>
      </c>
      <c r="AW28" s="12">
        <v>0.35193153490735302</v>
      </c>
      <c r="AX28" s="7">
        <v>5125</v>
      </c>
      <c r="AY28" s="12">
        <v>8.1373747638176591E-2</v>
      </c>
      <c r="AZ28" s="14">
        <v>2</v>
      </c>
      <c r="BA28" s="14">
        <v>0</v>
      </c>
      <c r="BB28" s="14">
        <v>2</v>
      </c>
      <c r="BC28" s="14">
        <v>0</v>
      </c>
      <c r="BD28" s="14">
        <v>0</v>
      </c>
      <c r="BE28" s="14">
        <v>0</v>
      </c>
      <c r="BF28" s="14">
        <v>0</v>
      </c>
      <c r="BG28" s="18">
        <v>0</v>
      </c>
      <c r="BH28" s="7">
        <v>0</v>
      </c>
      <c r="BI28" s="17">
        <v>0</v>
      </c>
      <c r="BJ28" s="1">
        <v>1</v>
      </c>
      <c r="BK28" s="7">
        <v>62981</v>
      </c>
      <c r="BL28" s="8">
        <v>0</v>
      </c>
      <c r="BM28" s="7">
        <v>0</v>
      </c>
      <c r="BN28" s="12">
        <v>0</v>
      </c>
      <c r="BO28" s="7">
        <v>2075</v>
      </c>
      <c r="BP28" s="12">
        <v>3.2899999999999999E-2</v>
      </c>
      <c r="BQ28" s="1"/>
      <c r="BR28" s="1"/>
      <c r="BS28" s="1"/>
      <c r="BT28" s="1"/>
      <c r="BU28" s="1"/>
      <c r="BV28" s="1"/>
      <c r="BW28" s="1"/>
      <c r="BX28" s="1"/>
      <c r="BY28" s="1"/>
      <c r="BZ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</row>
    <row r="29" spans="1:110">
      <c r="A29" s="10" t="s">
        <v>332</v>
      </c>
      <c r="B29" s="8" t="s">
        <v>104</v>
      </c>
      <c r="C29" s="8" t="s">
        <v>331</v>
      </c>
      <c r="D29" s="8" t="s">
        <v>75</v>
      </c>
      <c r="F29" s="10" t="s">
        <v>237</v>
      </c>
      <c r="G29" s="8" t="s">
        <v>84</v>
      </c>
      <c r="H29" s="4">
        <v>1</v>
      </c>
      <c r="I29" s="7">
        <v>50405</v>
      </c>
      <c r="J29" s="8">
        <v>0</v>
      </c>
      <c r="K29" s="8">
        <v>0</v>
      </c>
      <c r="L29" s="12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18">
        <f>SUM(Tabla2[[#This Row],[EST_BBVV91]:[ESTyPARyVIV_BBVV91]])</f>
        <v>0</v>
      </c>
      <c r="U29" s="8">
        <v>0</v>
      </c>
      <c r="V29" s="17">
        <v>0</v>
      </c>
      <c r="W29" s="4">
        <v>1</v>
      </c>
      <c r="X29" s="7">
        <v>61159</v>
      </c>
      <c r="Y29" s="8">
        <v>0</v>
      </c>
      <c r="Z29" s="8">
        <v>0</v>
      </c>
      <c r="AA29" s="12">
        <v>0</v>
      </c>
      <c r="AB29" s="8">
        <v>3912</v>
      </c>
      <c r="AC29" s="12">
        <v>6.3964420608577641E-2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18">
        <v>0</v>
      </c>
      <c r="AL29" s="8">
        <v>0</v>
      </c>
      <c r="AM29" s="17">
        <v>0</v>
      </c>
      <c r="AN29" s="4">
        <v>1</v>
      </c>
      <c r="AO29" s="7">
        <v>70006</v>
      </c>
      <c r="AP29" s="8">
        <v>1</v>
      </c>
      <c r="AQ29" s="8">
        <v>4402</v>
      </c>
      <c r="AR29" s="12">
        <v>6.2899999999999998E-2</v>
      </c>
      <c r="AS29" s="4">
        <v>1</v>
      </c>
      <c r="AT29" s="7">
        <v>74321</v>
      </c>
      <c r="AU29" s="8">
        <v>0</v>
      </c>
      <c r="AV29" s="8">
        <v>0</v>
      </c>
      <c r="AW29" s="12">
        <v>0</v>
      </c>
      <c r="AX29" s="8">
        <v>11215</v>
      </c>
      <c r="AY29" s="12">
        <v>0.15089947659477132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18">
        <v>0</v>
      </c>
      <c r="BH29" s="8">
        <v>0</v>
      </c>
      <c r="BI29" s="17">
        <v>0</v>
      </c>
      <c r="BJ29" s="1">
        <v>1</v>
      </c>
      <c r="BK29" s="7">
        <v>74321</v>
      </c>
      <c r="BL29" s="8">
        <v>4</v>
      </c>
      <c r="BM29" s="8">
        <v>27550</v>
      </c>
      <c r="BN29" s="12">
        <v>0.37068930719446724</v>
      </c>
      <c r="BO29" s="8">
        <v>0</v>
      </c>
      <c r="BP29" s="12">
        <v>0</v>
      </c>
      <c r="BQ29" s="1"/>
      <c r="BR29" s="1"/>
      <c r="BS29" s="1"/>
      <c r="BT29" s="1"/>
      <c r="BU29" s="1"/>
      <c r="BV29" s="1"/>
      <c r="BW29" s="1"/>
      <c r="BX29" s="1"/>
      <c r="BY29" s="1"/>
      <c r="BZ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spans="1:110">
      <c r="A30" s="10" t="s">
        <v>332</v>
      </c>
      <c r="B30" s="8" t="s">
        <v>104</v>
      </c>
      <c r="C30" s="8" t="s">
        <v>331</v>
      </c>
      <c r="D30" s="8" t="s">
        <v>75</v>
      </c>
      <c r="F30" s="10" t="s">
        <v>238</v>
      </c>
      <c r="G30" s="8" t="s">
        <v>85</v>
      </c>
      <c r="H30" s="4">
        <v>1</v>
      </c>
      <c r="I30" s="7">
        <v>189404</v>
      </c>
      <c r="J30" s="8">
        <v>5</v>
      </c>
      <c r="K30" s="7">
        <v>47851</v>
      </c>
      <c r="L30" s="12">
        <v>0.25259999999999999</v>
      </c>
      <c r="M30" s="18">
        <v>0</v>
      </c>
      <c r="N30" s="18">
        <v>1</v>
      </c>
      <c r="O30" s="18">
        <v>3</v>
      </c>
      <c r="P30" s="18">
        <v>0</v>
      </c>
      <c r="Q30" s="18">
        <v>0</v>
      </c>
      <c r="R30" s="18">
        <v>1</v>
      </c>
      <c r="S30" s="18">
        <v>0</v>
      </c>
      <c r="T30" s="18">
        <v>0</v>
      </c>
      <c r="U30" s="7">
        <v>0</v>
      </c>
      <c r="V30" s="17">
        <v>0</v>
      </c>
      <c r="W30" s="4">
        <v>1</v>
      </c>
      <c r="X30" s="7">
        <v>183788</v>
      </c>
      <c r="Y30" s="8">
        <v>7</v>
      </c>
      <c r="Z30" s="7">
        <v>66533</v>
      </c>
      <c r="AA30" s="12">
        <v>0.36200948919407144</v>
      </c>
      <c r="AB30" s="7">
        <v>9406</v>
      </c>
      <c r="AC30" s="12">
        <v>5.1178531786623717E-2</v>
      </c>
      <c r="AD30" s="14">
        <v>7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8">
        <v>0</v>
      </c>
      <c r="AL30" s="7">
        <v>0</v>
      </c>
      <c r="AM30" s="17">
        <v>0</v>
      </c>
      <c r="AN30" s="4">
        <v>1</v>
      </c>
      <c r="AO30" s="7">
        <v>200545</v>
      </c>
      <c r="AP30" s="8">
        <v>3</v>
      </c>
      <c r="AQ30" s="7">
        <v>14416</v>
      </c>
      <c r="AR30" s="12">
        <v>7.1900000000000006E-2</v>
      </c>
      <c r="AS30" s="4">
        <v>1</v>
      </c>
      <c r="AT30" s="7">
        <v>206949</v>
      </c>
      <c r="AU30" s="8">
        <v>11</v>
      </c>
      <c r="AV30" s="7">
        <v>93110</v>
      </c>
      <c r="AW30" s="12">
        <v>0.44991761255188478</v>
      </c>
      <c r="AX30" s="7">
        <v>12445</v>
      </c>
      <c r="AY30" s="12">
        <v>6.0135588961531587E-2</v>
      </c>
      <c r="AZ30" s="14">
        <v>8</v>
      </c>
      <c r="BA30" s="14">
        <v>0</v>
      </c>
      <c r="BB30" s="14">
        <v>1</v>
      </c>
      <c r="BC30" s="14">
        <v>2</v>
      </c>
      <c r="BD30" s="14">
        <v>0</v>
      </c>
      <c r="BE30" s="14">
        <v>0</v>
      </c>
      <c r="BF30" s="14">
        <v>0</v>
      </c>
      <c r="BG30" s="18">
        <v>0</v>
      </c>
      <c r="BH30" s="7">
        <v>0</v>
      </c>
      <c r="BI30" s="17">
        <v>0</v>
      </c>
      <c r="BJ30" s="1">
        <v>1</v>
      </c>
      <c r="BK30" s="7">
        <v>206949</v>
      </c>
      <c r="BL30" s="8">
        <v>7</v>
      </c>
      <c r="BM30" s="7">
        <v>32975</v>
      </c>
      <c r="BN30" s="12">
        <v>0.15933877428738483</v>
      </c>
      <c r="BO30" s="7">
        <v>6200</v>
      </c>
      <c r="BP30" s="12">
        <v>0.03</v>
      </c>
      <c r="BQ30" s="1"/>
      <c r="BR30" s="1"/>
      <c r="BS30" s="1"/>
      <c r="BT30" s="1"/>
      <c r="BU30" s="1"/>
      <c r="BV30" s="1"/>
      <c r="BW30" s="1"/>
      <c r="BX30" s="1"/>
      <c r="BY30" s="1"/>
      <c r="BZ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spans="1:110">
      <c r="A31" s="10" t="s">
        <v>332</v>
      </c>
      <c r="B31" s="8" t="s">
        <v>104</v>
      </c>
      <c r="C31" s="8" t="s">
        <v>331</v>
      </c>
      <c r="D31" s="8" t="s">
        <v>75</v>
      </c>
      <c r="F31" s="10" t="s">
        <v>240</v>
      </c>
      <c r="G31" s="8" t="s">
        <v>86</v>
      </c>
      <c r="H31" s="4">
        <v>1</v>
      </c>
      <c r="I31" s="7">
        <v>77932</v>
      </c>
      <c r="J31" s="8">
        <v>1</v>
      </c>
      <c r="K31" s="7">
        <v>5607</v>
      </c>
      <c r="L31" s="12">
        <v>7.1900000000000006E-2</v>
      </c>
      <c r="M31" s="18">
        <v>0</v>
      </c>
      <c r="N31" s="18">
        <v>0</v>
      </c>
      <c r="O31" s="18">
        <v>0</v>
      </c>
      <c r="P31" s="18">
        <v>1</v>
      </c>
      <c r="Q31" s="18">
        <v>0</v>
      </c>
      <c r="R31" s="18">
        <v>0</v>
      </c>
      <c r="S31" s="18">
        <v>0</v>
      </c>
      <c r="T31" s="18">
        <v>0</v>
      </c>
      <c r="U31" s="7">
        <v>0</v>
      </c>
      <c r="V31" s="17">
        <v>0</v>
      </c>
      <c r="W31" s="4">
        <v>1</v>
      </c>
      <c r="X31" s="7">
        <v>78738</v>
      </c>
      <c r="Y31" s="8">
        <v>3</v>
      </c>
      <c r="Z31" s="7">
        <v>17596</v>
      </c>
      <c r="AA31" s="12">
        <v>0.22347532322385633</v>
      </c>
      <c r="AB31" s="7">
        <v>4789</v>
      </c>
      <c r="AC31" s="12">
        <v>6.0821966521882702E-2</v>
      </c>
      <c r="AD31" s="14">
        <v>1</v>
      </c>
      <c r="AE31" s="14">
        <v>0</v>
      </c>
      <c r="AF31" s="14">
        <v>0</v>
      </c>
      <c r="AG31" s="14">
        <v>0</v>
      </c>
      <c r="AH31" s="14">
        <v>0</v>
      </c>
      <c r="AI31" s="14">
        <v>2</v>
      </c>
      <c r="AJ31" s="14">
        <v>0</v>
      </c>
      <c r="AK31" s="18">
        <v>1</v>
      </c>
      <c r="AL31" s="7">
        <v>4686</v>
      </c>
      <c r="AM31" s="17">
        <v>5.9513830678960607E-2</v>
      </c>
      <c r="AN31" s="4">
        <v>1</v>
      </c>
      <c r="AO31" s="7">
        <v>81368</v>
      </c>
      <c r="AP31" s="8">
        <v>0</v>
      </c>
      <c r="AQ31" s="7">
        <v>0</v>
      </c>
      <c r="AR31" s="12">
        <v>0</v>
      </c>
      <c r="AS31" s="4">
        <v>1</v>
      </c>
      <c r="AT31" s="7">
        <v>82666</v>
      </c>
      <c r="AU31" s="8">
        <v>5</v>
      </c>
      <c r="AV31" s="7">
        <v>35010</v>
      </c>
      <c r="AW31" s="12">
        <v>0.42351147993128979</v>
      </c>
      <c r="AX31" s="7">
        <v>4770</v>
      </c>
      <c r="AY31" s="12">
        <v>5.7702078242566471E-2</v>
      </c>
      <c r="AZ31" s="14">
        <v>5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8">
        <v>0</v>
      </c>
      <c r="BH31" s="7">
        <v>0</v>
      </c>
      <c r="BI31" s="17">
        <v>0</v>
      </c>
      <c r="BJ31" s="1">
        <v>1</v>
      </c>
      <c r="BK31" s="7">
        <v>82666</v>
      </c>
      <c r="BL31" s="8">
        <v>2</v>
      </c>
      <c r="BM31" s="7">
        <v>19315</v>
      </c>
      <c r="BN31" s="12">
        <v>0.23365107783127284</v>
      </c>
      <c r="BO31" s="7">
        <v>2505</v>
      </c>
      <c r="BP31" s="12">
        <v>3.0300000000000001E-2</v>
      </c>
      <c r="BQ31" s="1"/>
      <c r="BR31" s="1"/>
      <c r="BS31" s="1"/>
      <c r="BT31" s="1"/>
      <c r="BU31" s="1"/>
      <c r="BV31" s="1"/>
      <c r="BW31" s="1"/>
      <c r="BX31" s="1"/>
      <c r="BY31" s="1"/>
      <c r="BZ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</row>
    <row r="32" spans="1:110">
      <c r="A32" s="2" t="s">
        <v>332</v>
      </c>
      <c r="B32" s="1" t="s">
        <v>104</v>
      </c>
      <c r="C32" s="1" t="s">
        <v>331</v>
      </c>
      <c r="D32" s="8" t="s">
        <v>75</v>
      </c>
      <c r="E32" s="1"/>
      <c r="F32" s="2" t="s">
        <v>241</v>
      </c>
      <c r="G32" s="1" t="s">
        <v>87</v>
      </c>
      <c r="H32" s="4"/>
      <c r="I32" s="3"/>
      <c r="J32" s="1"/>
      <c r="K32" s="3"/>
      <c r="L32" s="13"/>
      <c r="M32" s="18"/>
      <c r="N32" s="18"/>
      <c r="O32" s="18"/>
      <c r="P32" s="18"/>
      <c r="Q32" s="18"/>
      <c r="R32" s="18"/>
      <c r="S32" s="18"/>
      <c r="T32" s="18"/>
      <c r="U32" s="3"/>
      <c r="V32" s="17"/>
      <c r="W32" s="4">
        <v>1</v>
      </c>
      <c r="X32" s="3">
        <v>60265</v>
      </c>
      <c r="Y32" s="1">
        <v>0</v>
      </c>
      <c r="Z32" s="3">
        <v>0</v>
      </c>
      <c r="AA32" s="13">
        <v>0</v>
      </c>
      <c r="AB32" s="3">
        <v>4190</v>
      </c>
      <c r="AC32" s="12">
        <v>6.9526259022649958E-2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18">
        <v>0</v>
      </c>
      <c r="AL32" s="3">
        <v>0</v>
      </c>
      <c r="AM32" s="17">
        <v>0</v>
      </c>
      <c r="AN32" s="4">
        <v>1</v>
      </c>
      <c r="AO32" s="3">
        <v>73774</v>
      </c>
      <c r="AP32" s="1">
        <v>0</v>
      </c>
      <c r="AQ32" s="3">
        <v>0</v>
      </c>
      <c r="AR32" s="13">
        <v>0</v>
      </c>
      <c r="AS32" s="4">
        <v>1</v>
      </c>
      <c r="AT32" s="3">
        <v>84934</v>
      </c>
      <c r="AU32" s="1">
        <v>1</v>
      </c>
      <c r="AV32" s="3">
        <v>7395</v>
      </c>
      <c r="AW32" s="13">
        <v>8.706760543480821E-2</v>
      </c>
      <c r="AX32" s="3">
        <v>0</v>
      </c>
      <c r="AY32" s="12">
        <v>0</v>
      </c>
      <c r="AZ32" s="8">
        <v>0</v>
      </c>
      <c r="BA32" s="8">
        <v>0</v>
      </c>
      <c r="BB32" s="8">
        <v>1</v>
      </c>
      <c r="BC32" s="8">
        <v>0</v>
      </c>
      <c r="BD32" s="8">
        <v>0</v>
      </c>
      <c r="BE32" s="8">
        <v>0</v>
      </c>
      <c r="BF32" s="8">
        <v>0</v>
      </c>
      <c r="BG32" s="18">
        <v>0</v>
      </c>
      <c r="BH32" s="3">
        <v>0</v>
      </c>
      <c r="BI32" s="17">
        <v>0</v>
      </c>
      <c r="BJ32" s="1">
        <v>1</v>
      </c>
      <c r="BK32" s="3">
        <v>84934</v>
      </c>
      <c r="BL32" s="1">
        <v>2</v>
      </c>
      <c r="BM32" s="3">
        <v>10275</v>
      </c>
      <c r="BN32" s="13">
        <v>0.12097628747027103</v>
      </c>
      <c r="BO32" s="3">
        <v>1715</v>
      </c>
      <c r="BP32" s="12">
        <v>2.0199999999999999E-2</v>
      </c>
      <c r="BQ32" s="1"/>
      <c r="BR32" s="1"/>
      <c r="BS32" s="1"/>
      <c r="BT32" s="1"/>
      <c r="BU32" s="1"/>
      <c r="BV32" s="1"/>
      <c r="BW32" s="1"/>
      <c r="BX32" s="1"/>
      <c r="BY32" s="1"/>
      <c r="BZ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</row>
    <row r="33" spans="1:110">
      <c r="A33" s="10" t="s">
        <v>332</v>
      </c>
      <c r="B33" s="8" t="s">
        <v>104</v>
      </c>
      <c r="C33" s="8" t="s">
        <v>331</v>
      </c>
      <c r="D33" s="8" t="s">
        <v>75</v>
      </c>
      <c r="F33" s="10" t="s">
        <v>242</v>
      </c>
      <c r="G33" s="8" t="s">
        <v>88</v>
      </c>
      <c r="H33" s="4">
        <v>1</v>
      </c>
      <c r="I33" s="7">
        <v>133138</v>
      </c>
      <c r="J33" s="8">
        <v>1</v>
      </c>
      <c r="K33" s="7">
        <v>3922</v>
      </c>
      <c r="L33" s="12">
        <v>2.9499999999999998E-2</v>
      </c>
      <c r="M33" s="18">
        <v>0</v>
      </c>
      <c r="N33" s="18">
        <v>1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7">
        <v>0</v>
      </c>
      <c r="V33" s="17">
        <v>0</v>
      </c>
      <c r="W33" s="4">
        <v>1</v>
      </c>
      <c r="X33" s="7">
        <v>112992</v>
      </c>
      <c r="Y33" s="8">
        <v>9</v>
      </c>
      <c r="Z33" s="7">
        <v>52625</v>
      </c>
      <c r="AA33" s="12">
        <v>0.46574093741149813</v>
      </c>
      <c r="AB33" s="7">
        <v>4039</v>
      </c>
      <c r="AC33" s="12">
        <v>3.5745893514585105E-2</v>
      </c>
      <c r="AD33" s="14">
        <v>6</v>
      </c>
      <c r="AE33" s="14">
        <v>0</v>
      </c>
      <c r="AF33" s="14">
        <v>3</v>
      </c>
      <c r="AG33" s="14">
        <v>0</v>
      </c>
      <c r="AH33" s="14">
        <v>0</v>
      </c>
      <c r="AI33" s="14">
        <v>0</v>
      </c>
      <c r="AJ33" s="14">
        <v>0</v>
      </c>
      <c r="AK33" s="18">
        <v>0</v>
      </c>
      <c r="AL33" s="7">
        <v>0</v>
      </c>
      <c r="AM33" s="17">
        <v>0</v>
      </c>
      <c r="AN33" s="4">
        <v>1</v>
      </c>
      <c r="AO33" s="7">
        <v>119056</v>
      </c>
      <c r="AP33" s="8">
        <v>5</v>
      </c>
      <c r="AQ33" s="7">
        <v>45379</v>
      </c>
      <c r="AR33" s="12">
        <v>0.38119999999999998</v>
      </c>
      <c r="AS33" s="4">
        <v>1</v>
      </c>
      <c r="AT33" s="7">
        <v>119391</v>
      </c>
      <c r="AU33" s="8">
        <v>15</v>
      </c>
      <c r="AV33" s="7">
        <v>97250</v>
      </c>
      <c r="AW33" s="12">
        <v>0.81455051050749216</v>
      </c>
      <c r="AX33" s="7">
        <v>2990</v>
      </c>
      <c r="AY33" s="12">
        <v>2.5043763767788191E-2</v>
      </c>
      <c r="AZ33" s="14">
        <v>11</v>
      </c>
      <c r="BA33" s="14">
        <v>2</v>
      </c>
      <c r="BB33" s="14">
        <v>0</v>
      </c>
      <c r="BC33" s="14">
        <v>2</v>
      </c>
      <c r="BD33" s="14">
        <v>0</v>
      </c>
      <c r="BE33" s="14">
        <v>0</v>
      </c>
      <c r="BF33" s="14">
        <v>0</v>
      </c>
      <c r="BG33" s="18">
        <v>0</v>
      </c>
      <c r="BH33" s="7">
        <v>0</v>
      </c>
      <c r="BI33" s="17">
        <v>0</v>
      </c>
      <c r="BJ33" s="1">
        <v>1</v>
      </c>
      <c r="BK33" s="7">
        <v>119391</v>
      </c>
      <c r="BL33" s="8">
        <v>7</v>
      </c>
      <c r="BM33" s="7">
        <v>62440</v>
      </c>
      <c r="BN33" s="12">
        <v>0.52298749486979756</v>
      </c>
      <c r="BO33" s="7">
        <v>7415</v>
      </c>
      <c r="BP33" s="12">
        <v>6.2100000000000002E-2</v>
      </c>
      <c r="BQ33" s="1"/>
      <c r="BR33" s="1"/>
      <c r="BS33" s="1"/>
      <c r="BT33" s="1"/>
      <c r="BU33" s="1"/>
      <c r="BV33" s="1"/>
      <c r="BW33" s="1"/>
      <c r="BX33" s="1"/>
      <c r="BY33" s="1"/>
      <c r="BZ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</row>
    <row r="34" spans="1:110">
      <c r="A34" s="10" t="s">
        <v>332</v>
      </c>
      <c r="B34" s="8" t="s">
        <v>104</v>
      </c>
      <c r="C34" s="8" t="s">
        <v>331</v>
      </c>
      <c r="D34" s="8" t="s">
        <v>75</v>
      </c>
      <c r="F34" s="10" t="s">
        <v>223</v>
      </c>
      <c r="G34" s="8" t="s">
        <v>89</v>
      </c>
      <c r="H34" s="4">
        <v>1</v>
      </c>
      <c r="I34" s="7">
        <v>56612</v>
      </c>
      <c r="J34" s="8">
        <v>0</v>
      </c>
      <c r="K34" s="7">
        <v>0</v>
      </c>
      <c r="L34" s="12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18">
        <f>SUM(Tabla2[[#This Row],[EST_BBVV91]:[ESTyPARyVIV_BBVV91]])</f>
        <v>0</v>
      </c>
      <c r="U34" s="7">
        <v>0</v>
      </c>
      <c r="V34" s="17">
        <v>0</v>
      </c>
      <c r="W34" s="4">
        <v>1</v>
      </c>
      <c r="X34" s="7">
        <v>53343</v>
      </c>
      <c r="Y34" s="8">
        <v>0</v>
      </c>
      <c r="Z34" s="7">
        <v>0</v>
      </c>
      <c r="AA34" s="12">
        <v>0</v>
      </c>
      <c r="AB34" s="7">
        <v>3346</v>
      </c>
      <c r="AC34" s="12">
        <v>6.2726130888776405E-2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18">
        <v>0</v>
      </c>
      <c r="AL34" s="7">
        <v>0</v>
      </c>
      <c r="AM34" s="17">
        <v>0</v>
      </c>
      <c r="AN34" s="4">
        <v>1</v>
      </c>
      <c r="AO34" s="7">
        <v>57959</v>
      </c>
      <c r="AP34" s="8">
        <v>0</v>
      </c>
      <c r="AQ34" s="7">
        <v>0</v>
      </c>
      <c r="AR34" s="12">
        <v>0</v>
      </c>
      <c r="AS34" s="4">
        <v>1</v>
      </c>
      <c r="AT34" s="7">
        <v>57674</v>
      </c>
      <c r="AU34" s="8">
        <v>1</v>
      </c>
      <c r="AV34" s="7">
        <v>3865</v>
      </c>
      <c r="AW34" s="12">
        <v>6.7014599299511049E-2</v>
      </c>
      <c r="AX34" s="7">
        <v>2745</v>
      </c>
      <c r="AY34" s="12">
        <v>4.7595103512848076E-2</v>
      </c>
      <c r="AZ34" s="8">
        <v>1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18">
        <v>0</v>
      </c>
      <c r="BH34" s="7">
        <v>0</v>
      </c>
      <c r="BI34" s="17">
        <v>0</v>
      </c>
      <c r="BJ34" s="1">
        <v>1</v>
      </c>
      <c r="BK34" s="7">
        <v>57674</v>
      </c>
      <c r="BL34" s="8">
        <v>2</v>
      </c>
      <c r="BM34" s="7">
        <v>10270</v>
      </c>
      <c r="BN34" s="12">
        <v>0.1780698408294899</v>
      </c>
      <c r="BO34" s="7">
        <v>0</v>
      </c>
      <c r="BP34" s="12">
        <v>0</v>
      </c>
      <c r="BQ34" s="1"/>
      <c r="BR34" s="1"/>
      <c r="BS34" s="1"/>
      <c r="BT34" s="1"/>
      <c r="BU34" s="1"/>
      <c r="BV34" s="1"/>
      <c r="BW34" s="1"/>
      <c r="BX34" s="1"/>
      <c r="BY34" s="1"/>
      <c r="BZ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</row>
    <row r="35" spans="1:110">
      <c r="A35" s="10" t="s">
        <v>332</v>
      </c>
      <c r="B35" s="8" t="s">
        <v>104</v>
      </c>
      <c r="C35" s="8" t="s">
        <v>331</v>
      </c>
      <c r="D35" s="8" t="s">
        <v>75</v>
      </c>
      <c r="F35" s="10" t="s">
        <v>246</v>
      </c>
      <c r="G35" s="8" t="s">
        <v>90</v>
      </c>
      <c r="H35" s="4">
        <v>1</v>
      </c>
      <c r="I35" s="7">
        <v>158063</v>
      </c>
      <c r="J35" s="8">
        <v>6</v>
      </c>
      <c r="K35" s="7">
        <v>29434</v>
      </c>
      <c r="L35" s="12">
        <v>0.1862</v>
      </c>
      <c r="M35" s="18">
        <v>0</v>
      </c>
      <c r="N35" s="18">
        <v>3</v>
      </c>
      <c r="O35" s="18">
        <v>2</v>
      </c>
      <c r="P35" s="18">
        <v>1</v>
      </c>
      <c r="Q35" s="18">
        <v>0</v>
      </c>
      <c r="R35" s="18">
        <v>0</v>
      </c>
      <c r="S35" s="18">
        <v>0</v>
      </c>
      <c r="T35" s="18">
        <v>0</v>
      </c>
      <c r="U35" s="7">
        <v>0</v>
      </c>
      <c r="V35" s="17">
        <v>0</v>
      </c>
      <c r="W35" s="4">
        <v>1</v>
      </c>
      <c r="X35" s="7">
        <v>173775</v>
      </c>
      <c r="Y35" s="8">
        <v>6</v>
      </c>
      <c r="Z35" s="7">
        <v>44078</v>
      </c>
      <c r="AA35" s="12">
        <v>0.25364983455617895</v>
      </c>
      <c r="AB35" s="7">
        <v>17105</v>
      </c>
      <c r="AC35" s="12">
        <v>9.8431880304992087E-2</v>
      </c>
      <c r="AD35" s="14">
        <v>5</v>
      </c>
      <c r="AE35" s="14">
        <v>0</v>
      </c>
      <c r="AF35" s="14">
        <v>0</v>
      </c>
      <c r="AG35" s="14">
        <v>0</v>
      </c>
      <c r="AH35" s="14">
        <v>0</v>
      </c>
      <c r="AI35" s="14">
        <v>1</v>
      </c>
      <c r="AJ35" s="14">
        <v>0</v>
      </c>
      <c r="AK35" s="18">
        <v>0</v>
      </c>
      <c r="AL35" s="7">
        <v>0</v>
      </c>
      <c r="AM35" s="17">
        <v>0</v>
      </c>
      <c r="AN35" s="4">
        <v>1</v>
      </c>
      <c r="AO35" s="7">
        <v>199817</v>
      </c>
      <c r="AP35" s="8">
        <v>4</v>
      </c>
      <c r="AQ35" s="7">
        <v>32893</v>
      </c>
      <c r="AR35" s="12">
        <v>0.1646</v>
      </c>
      <c r="AS35" s="4">
        <v>1</v>
      </c>
      <c r="AT35" s="7">
        <v>214406</v>
      </c>
      <c r="AU35" s="8">
        <v>9</v>
      </c>
      <c r="AV35" s="7">
        <v>67070</v>
      </c>
      <c r="AW35" s="12">
        <v>0.31281773830956222</v>
      </c>
      <c r="AX35" s="7">
        <v>34710</v>
      </c>
      <c r="AY35" s="12">
        <v>0.16188912623713889</v>
      </c>
      <c r="AZ35" s="14">
        <v>5</v>
      </c>
      <c r="BA35" s="14">
        <v>0</v>
      </c>
      <c r="BB35" s="14">
        <v>3</v>
      </c>
      <c r="BC35" s="14">
        <v>0</v>
      </c>
      <c r="BD35" s="14">
        <v>0</v>
      </c>
      <c r="BE35" s="14">
        <v>1</v>
      </c>
      <c r="BF35" s="14">
        <v>0</v>
      </c>
      <c r="BG35" s="18">
        <v>0</v>
      </c>
      <c r="BH35" s="7">
        <v>0</v>
      </c>
      <c r="BI35" s="17">
        <v>0</v>
      </c>
      <c r="BJ35" s="1">
        <v>1</v>
      </c>
      <c r="BK35" s="7">
        <v>214406</v>
      </c>
      <c r="BL35" s="8">
        <v>8</v>
      </c>
      <c r="BM35" s="7">
        <v>52530</v>
      </c>
      <c r="BN35" s="12">
        <v>0.24500247194574779</v>
      </c>
      <c r="BO35" s="7">
        <v>6815</v>
      </c>
      <c r="BP35" s="12">
        <v>3.1800000000000002E-2</v>
      </c>
      <c r="BQ35" s="1"/>
      <c r="BR35" s="1"/>
      <c r="BS35" s="1"/>
      <c r="BT35" s="1"/>
      <c r="BU35" s="1"/>
      <c r="BV35" s="1"/>
      <c r="BW35" s="1"/>
      <c r="BX35" s="1"/>
      <c r="BY35" s="1"/>
      <c r="BZ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</row>
    <row r="36" spans="1:110">
      <c r="A36" s="2" t="s">
        <v>332</v>
      </c>
      <c r="B36" s="1" t="s">
        <v>104</v>
      </c>
      <c r="C36" s="1" t="s">
        <v>331</v>
      </c>
      <c r="D36" s="8" t="s">
        <v>75</v>
      </c>
      <c r="E36" s="1"/>
      <c r="F36" s="2" t="s">
        <v>248</v>
      </c>
      <c r="G36" s="1" t="s">
        <v>91</v>
      </c>
      <c r="H36" s="4"/>
      <c r="I36" s="3"/>
      <c r="J36" s="1"/>
      <c r="K36" s="3"/>
      <c r="L36" s="13"/>
      <c r="M36" s="18"/>
      <c r="N36" s="18"/>
      <c r="O36" s="18"/>
      <c r="P36" s="18"/>
      <c r="Q36" s="18"/>
      <c r="R36" s="18"/>
      <c r="S36" s="18"/>
      <c r="T36" s="18"/>
      <c r="U36" s="3"/>
      <c r="V36" s="17"/>
      <c r="W36" s="4">
        <v>1</v>
      </c>
      <c r="X36" s="3">
        <v>56841</v>
      </c>
      <c r="Y36" s="1">
        <v>2</v>
      </c>
      <c r="Z36" s="3">
        <v>8711</v>
      </c>
      <c r="AA36" s="13">
        <v>0.15325205397512359</v>
      </c>
      <c r="AB36" s="3">
        <v>5573</v>
      </c>
      <c r="AC36" s="12">
        <v>9.8045424957337132E-2</v>
      </c>
      <c r="AD36" s="14">
        <v>2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8">
        <v>0</v>
      </c>
      <c r="AL36" s="3">
        <v>0</v>
      </c>
      <c r="AM36" s="17">
        <v>0</v>
      </c>
      <c r="AN36" s="4">
        <v>1</v>
      </c>
      <c r="AO36" s="3">
        <v>61168</v>
      </c>
      <c r="AP36" s="1">
        <v>0</v>
      </c>
      <c r="AQ36" s="3">
        <v>0</v>
      </c>
      <c r="AR36" s="13">
        <v>0</v>
      </c>
      <c r="AS36" s="4">
        <v>1</v>
      </c>
      <c r="AT36" s="3">
        <v>64999</v>
      </c>
      <c r="AU36" s="1">
        <v>3</v>
      </c>
      <c r="AV36" s="3">
        <v>21120</v>
      </c>
      <c r="AW36" s="13">
        <v>0.32492807581655103</v>
      </c>
      <c r="AX36" s="3">
        <v>4215</v>
      </c>
      <c r="AY36" s="12">
        <v>6.4847151494638378E-2</v>
      </c>
      <c r="AZ36" s="14">
        <v>3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8">
        <v>0</v>
      </c>
      <c r="BH36" s="3">
        <v>0</v>
      </c>
      <c r="BI36" s="17">
        <v>0</v>
      </c>
      <c r="BJ36" s="1">
        <v>1</v>
      </c>
      <c r="BK36" s="3">
        <v>64999</v>
      </c>
      <c r="BL36" s="1">
        <v>1</v>
      </c>
      <c r="BM36" s="3">
        <v>7605</v>
      </c>
      <c r="BN36" s="13">
        <v>0.11700180002769274</v>
      </c>
      <c r="BO36" s="3">
        <v>2585</v>
      </c>
      <c r="BP36" s="12">
        <v>3.9800000000000002E-2</v>
      </c>
      <c r="BQ36" s="1"/>
      <c r="BR36" s="1"/>
      <c r="BS36" s="1"/>
      <c r="BT36" s="1"/>
      <c r="BU36" s="1"/>
      <c r="BV36" s="1"/>
      <c r="BW36" s="1"/>
      <c r="BX36" s="1"/>
      <c r="BY36" s="1"/>
      <c r="BZ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spans="1:110">
      <c r="A37" s="2" t="s">
        <v>332</v>
      </c>
      <c r="B37" s="1" t="s">
        <v>104</v>
      </c>
      <c r="C37" s="1" t="s">
        <v>331</v>
      </c>
      <c r="D37" s="8" t="s">
        <v>75</v>
      </c>
      <c r="E37" s="1"/>
      <c r="F37" s="2" t="s">
        <v>249</v>
      </c>
      <c r="G37" s="1" t="s">
        <v>92</v>
      </c>
      <c r="H37" s="4"/>
      <c r="I37" s="3"/>
      <c r="J37" s="1"/>
      <c r="K37" s="3"/>
      <c r="L37" s="13"/>
      <c r="M37" s="18"/>
      <c r="N37" s="18"/>
      <c r="O37" s="18"/>
      <c r="P37" s="18"/>
      <c r="Q37" s="18"/>
      <c r="R37" s="18"/>
      <c r="S37" s="18"/>
      <c r="T37" s="18"/>
      <c r="U37" s="3"/>
      <c r="V37" s="17"/>
      <c r="W37" s="4">
        <v>1</v>
      </c>
      <c r="X37" s="3">
        <v>54230</v>
      </c>
      <c r="Y37" s="1">
        <v>0</v>
      </c>
      <c r="Z37" s="3">
        <v>0</v>
      </c>
      <c r="AA37" s="13">
        <v>0</v>
      </c>
      <c r="AB37" s="3">
        <v>11128</v>
      </c>
      <c r="AC37" s="12">
        <v>0.20520007375991148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18">
        <v>0</v>
      </c>
      <c r="AL37" s="3">
        <v>0</v>
      </c>
      <c r="AM37" s="17">
        <v>0</v>
      </c>
      <c r="AN37" s="4">
        <v>1</v>
      </c>
      <c r="AO37" s="3">
        <v>62826</v>
      </c>
      <c r="AP37" s="1">
        <v>1</v>
      </c>
      <c r="AQ37" s="3">
        <v>4848</v>
      </c>
      <c r="AR37" s="13">
        <v>7.7200000000000005E-2</v>
      </c>
      <c r="AS37" s="4">
        <v>1</v>
      </c>
      <c r="AT37" s="3">
        <v>66074</v>
      </c>
      <c r="AU37" s="1">
        <v>4</v>
      </c>
      <c r="AV37" s="3">
        <v>29155</v>
      </c>
      <c r="AW37" s="13">
        <v>0.44124769198171748</v>
      </c>
      <c r="AX37" s="3">
        <v>1045</v>
      </c>
      <c r="AY37" s="12">
        <v>1.5815600690135302E-2</v>
      </c>
      <c r="AZ37" s="8">
        <v>1</v>
      </c>
      <c r="BA37" s="8">
        <v>0</v>
      </c>
      <c r="BB37" s="8">
        <v>3</v>
      </c>
      <c r="BC37" s="8">
        <v>0</v>
      </c>
      <c r="BD37" s="8">
        <v>0</v>
      </c>
      <c r="BE37" s="8">
        <v>0</v>
      </c>
      <c r="BF37" s="8">
        <v>0</v>
      </c>
      <c r="BG37" s="18">
        <v>0</v>
      </c>
      <c r="BH37" s="3">
        <v>0</v>
      </c>
      <c r="BI37" s="17">
        <v>0</v>
      </c>
      <c r="BJ37" s="1">
        <v>1</v>
      </c>
      <c r="BK37" s="3">
        <v>66074</v>
      </c>
      <c r="BL37" s="1">
        <v>2</v>
      </c>
      <c r="BM37" s="3">
        <v>18570</v>
      </c>
      <c r="BN37" s="13">
        <v>0.28104852135484459</v>
      </c>
      <c r="BO37" s="3">
        <v>3355</v>
      </c>
      <c r="BP37" s="12">
        <v>5.0799999999999998E-2</v>
      </c>
      <c r="BQ37" s="1"/>
      <c r="BR37" s="1"/>
      <c r="BS37" s="1"/>
      <c r="BT37" s="1"/>
      <c r="BU37" s="1"/>
      <c r="BV37" s="1"/>
      <c r="BW37" s="1"/>
      <c r="BX37" s="1"/>
      <c r="BY37" s="1"/>
      <c r="BZ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</row>
    <row r="38" spans="1:110">
      <c r="A38" s="10" t="s">
        <v>330</v>
      </c>
      <c r="B38" s="8" t="s">
        <v>71</v>
      </c>
      <c r="C38" s="8" t="s">
        <v>332</v>
      </c>
      <c r="D38" s="8" t="s">
        <v>59</v>
      </c>
      <c r="E38" s="8">
        <v>1</v>
      </c>
      <c r="F38" s="10" t="s">
        <v>221</v>
      </c>
      <c r="G38" s="8" t="s">
        <v>59</v>
      </c>
      <c r="H38" s="4">
        <v>1</v>
      </c>
      <c r="I38" s="7">
        <v>160278</v>
      </c>
      <c r="J38" s="8">
        <v>1</v>
      </c>
      <c r="K38" s="7">
        <v>4649</v>
      </c>
      <c r="L38" s="12">
        <v>2.9000000000000001E-2</v>
      </c>
      <c r="M38" s="18">
        <v>0</v>
      </c>
      <c r="N38" s="18">
        <v>0</v>
      </c>
      <c r="O38" s="18">
        <v>1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7">
        <v>0</v>
      </c>
      <c r="V38" s="17">
        <v>0</v>
      </c>
      <c r="W38" s="4">
        <v>1</v>
      </c>
      <c r="X38" s="7">
        <v>166187</v>
      </c>
      <c r="Y38" s="8">
        <v>1</v>
      </c>
      <c r="Z38" s="7">
        <v>4186</v>
      </c>
      <c r="AA38" s="12">
        <v>2.5188492481361357E-2</v>
      </c>
      <c r="AB38" s="7">
        <v>10135</v>
      </c>
      <c r="AC38" s="12">
        <v>6.0985516315957326E-2</v>
      </c>
      <c r="AD38" s="14">
        <v>0</v>
      </c>
      <c r="AE38" s="14">
        <v>0</v>
      </c>
      <c r="AF38" s="14">
        <v>1</v>
      </c>
      <c r="AG38" s="14">
        <v>0</v>
      </c>
      <c r="AH38" s="14">
        <v>0</v>
      </c>
      <c r="AI38" s="14">
        <v>0</v>
      </c>
      <c r="AJ38" s="14">
        <v>0</v>
      </c>
      <c r="AK38" s="18">
        <v>0</v>
      </c>
      <c r="AL38" s="7">
        <v>0</v>
      </c>
      <c r="AM38" s="17">
        <v>0</v>
      </c>
      <c r="AN38" s="4">
        <v>1</v>
      </c>
      <c r="AO38" s="7">
        <v>173676</v>
      </c>
      <c r="AP38" s="8">
        <v>0</v>
      </c>
      <c r="AQ38" s="7">
        <v>0</v>
      </c>
      <c r="AR38" s="12">
        <v>0</v>
      </c>
      <c r="AS38" s="4">
        <v>1</v>
      </c>
      <c r="AT38" s="7">
        <v>178864</v>
      </c>
      <c r="AU38" s="8">
        <v>2</v>
      </c>
      <c r="AV38" s="7">
        <v>10305</v>
      </c>
      <c r="AW38" s="12">
        <v>5.761360586814563E-2</v>
      </c>
      <c r="AX38" s="7">
        <v>12990</v>
      </c>
      <c r="AY38" s="12">
        <v>7.2625011181679938E-2</v>
      </c>
      <c r="AZ38" s="14">
        <v>0</v>
      </c>
      <c r="BA38" s="14">
        <v>0</v>
      </c>
      <c r="BB38" s="14">
        <v>2</v>
      </c>
      <c r="BC38" s="14">
        <v>0</v>
      </c>
      <c r="BD38" s="14">
        <v>0</v>
      </c>
      <c r="BE38" s="14">
        <v>0</v>
      </c>
      <c r="BF38" s="14">
        <v>0</v>
      </c>
      <c r="BG38" s="18">
        <v>0</v>
      </c>
      <c r="BH38" s="7">
        <v>0</v>
      </c>
      <c r="BI38" s="17">
        <v>0</v>
      </c>
      <c r="BJ38" s="1">
        <v>1</v>
      </c>
      <c r="BK38" s="7">
        <v>178864</v>
      </c>
      <c r="BL38" s="8">
        <v>1</v>
      </c>
      <c r="BM38" s="7">
        <v>4445</v>
      </c>
      <c r="BN38" s="12">
        <v>2.4851283656856606E-2</v>
      </c>
      <c r="BO38" s="7">
        <v>10655</v>
      </c>
      <c r="BP38" s="12">
        <v>5.96E-2</v>
      </c>
      <c r="BQ38" s="1"/>
      <c r="BR38" s="1"/>
      <c r="BS38" s="1"/>
      <c r="BT38" s="1"/>
      <c r="BU38" s="1"/>
      <c r="BV38" s="1"/>
      <c r="BW38" s="1"/>
      <c r="BX38" s="1"/>
      <c r="BY38" s="1"/>
      <c r="BZ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spans="1:110">
      <c r="A39" s="10" t="s">
        <v>334</v>
      </c>
      <c r="B39" s="8" t="s">
        <v>136</v>
      </c>
      <c r="C39" s="8" t="s">
        <v>333</v>
      </c>
      <c r="D39" s="8" t="s">
        <v>114</v>
      </c>
      <c r="E39" s="8">
        <v>1</v>
      </c>
      <c r="F39" s="10" t="s">
        <v>255</v>
      </c>
      <c r="G39" s="8" t="s">
        <v>114</v>
      </c>
      <c r="H39" s="4">
        <v>1</v>
      </c>
      <c r="I39" s="7">
        <v>74589</v>
      </c>
      <c r="J39" s="8">
        <v>2</v>
      </c>
      <c r="K39" s="7">
        <v>9144</v>
      </c>
      <c r="L39" s="12">
        <v>0.1226</v>
      </c>
      <c r="M39" s="18">
        <v>0</v>
      </c>
      <c r="N39" s="18">
        <v>0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1</v>
      </c>
      <c r="U39" s="7">
        <v>4310</v>
      </c>
      <c r="V39" s="17">
        <v>5.7783319256190589E-2</v>
      </c>
      <c r="W39" s="4">
        <v>1</v>
      </c>
      <c r="X39" s="7">
        <v>82716</v>
      </c>
      <c r="Y39" s="8">
        <v>2</v>
      </c>
      <c r="Z39" s="7">
        <v>16594</v>
      </c>
      <c r="AA39" s="12">
        <v>0.20061414962038784</v>
      </c>
      <c r="AB39" s="7">
        <v>3710</v>
      </c>
      <c r="AC39" s="12">
        <v>4.4852265583442137E-2</v>
      </c>
      <c r="AD39" s="14">
        <v>0</v>
      </c>
      <c r="AE39" s="14">
        <v>1</v>
      </c>
      <c r="AF39" s="14">
        <v>0</v>
      </c>
      <c r="AG39" s="14">
        <v>1</v>
      </c>
      <c r="AH39" s="14">
        <v>0</v>
      </c>
      <c r="AI39" s="14">
        <v>0</v>
      </c>
      <c r="AJ39" s="14">
        <v>0</v>
      </c>
      <c r="AK39" s="18">
        <v>0</v>
      </c>
      <c r="AL39" s="7">
        <v>0</v>
      </c>
      <c r="AM39" s="17">
        <v>0</v>
      </c>
      <c r="AN39" s="4">
        <v>1</v>
      </c>
      <c r="AO39" s="7">
        <v>90218</v>
      </c>
      <c r="AP39" s="8">
        <v>0</v>
      </c>
      <c r="AQ39" s="7">
        <v>0</v>
      </c>
      <c r="AR39" s="12">
        <v>0</v>
      </c>
      <c r="AS39" s="4">
        <v>1</v>
      </c>
      <c r="AT39" s="7">
        <v>95616</v>
      </c>
      <c r="AU39" s="8">
        <v>3</v>
      </c>
      <c r="AV39" s="7">
        <v>19200</v>
      </c>
      <c r="AW39" s="12">
        <v>0.20080321285140562</v>
      </c>
      <c r="AX39" s="7">
        <v>3225</v>
      </c>
      <c r="AY39" s="12">
        <v>3.3728664658634541E-2</v>
      </c>
      <c r="AZ39" s="14">
        <v>1</v>
      </c>
      <c r="BA39" s="14">
        <v>1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8">
        <v>0</v>
      </c>
      <c r="BH39" s="7">
        <v>0</v>
      </c>
      <c r="BI39" s="17">
        <v>0</v>
      </c>
      <c r="BJ39" s="1">
        <v>1</v>
      </c>
      <c r="BK39" s="7">
        <v>95616</v>
      </c>
      <c r="BL39" s="8">
        <v>0</v>
      </c>
      <c r="BM39" s="7">
        <v>0</v>
      </c>
      <c r="BN39" s="12">
        <v>0</v>
      </c>
      <c r="BO39" s="7">
        <v>2470</v>
      </c>
      <c r="BP39" s="12">
        <v>2.58E-2</v>
      </c>
      <c r="BQ39" s="1"/>
      <c r="BR39" s="1"/>
      <c r="BS39" s="1"/>
      <c r="BT39" s="1"/>
      <c r="BU39" s="1"/>
      <c r="BV39" s="1"/>
      <c r="BW39" s="1"/>
      <c r="BX39" s="1"/>
      <c r="BY39" s="1"/>
      <c r="BZ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spans="1:110">
      <c r="A40" s="10" t="s">
        <v>324</v>
      </c>
      <c r="B40" s="8" t="s">
        <v>30</v>
      </c>
      <c r="C40" s="8" t="s">
        <v>334</v>
      </c>
      <c r="D40" s="8" t="s">
        <v>5</v>
      </c>
      <c r="F40" s="10" t="s">
        <v>165</v>
      </c>
      <c r="G40" s="8" t="s">
        <v>4</v>
      </c>
      <c r="H40" s="4">
        <v>1</v>
      </c>
      <c r="I40" s="7">
        <v>101256</v>
      </c>
      <c r="J40" s="8">
        <v>7</v>
      </c>
      <c r="K40" s="7">
        <v>43125</v>
      </c>
      <c r="L40" s="12">
        <v>0.4259</v>
      </c>
      <c r="M40" s="18">
        <v>0</v>
      </c>
      <c r="N40" s="18">
        <v>2</v>
      </c>
      <c r="O40" s="18">
        <v>0</v>
      </c>
      <c r="P40" s="18">
        <v>2</v>
      </c>
      <c r="Q40" s="18">
        <v>0</v>
      </c>
      <c r="R40" s="18">
        <v>0</v>
      </c>
      <c r="S40" s="18">
        <v>3</v>
      </c>
      <c r="T40" s="18">
        <v>2</v>
      </c>
      <c r="U40" s="7">
        <v>14776</v>
      </c>
      <c r="V40" s="17">
        <v>0.14592715493402861</v>
      </c>
      <c r="W40" s="4">
        <v>1</v>
      </c>
      <c r="X40" s="7">
        <v>101468</v>
      </c>
      <c r="Y40" s="8">
        <v>5</v>
      </c>
      <c r="Z40" s="7">
        <v>38210</v>
      </c>
      <c r="AA40" s="12">
        <v>0.37657192415342766</v>
      </c>
      <c r="AB40" s="7">
        <v>23354</v>
      </c>
      <c r="AC40" s="12">
        <v>0.23016123309811962</v>
      </c>
      <c r="AD40" s="14">
        <v>0</v>
      </c>
      <c r="AE40" s="14">
        <v>2</v>
      </c>
      <c r="AF40" s="14">
        <v>0</v>
      </c>
      <c r="AG40" s="14">
        <v>2</v>
      </c>
      <c r="AH40" s="14">
        <v>0</v>
      </c>
      <c r="AI40" s="14">
        <v>0</v>
      </c>
      <c r="AJ40" s="14">
        <v>1</v>
      </c>
      <c r="AK40" s="18">
        <v>2</v>
      </c>
      <c r="AL40" s="7">
        <v>12413</v>
      </c>
      <c r="AM40" s="17">
        <v>0.12233413489967281</v>
      </c>
      <c r="AN40" s="4">
        <v>1</v>
      </c>
      <c r="AO40" s="7">
        <v>112937</v>
      </c>
      <c r="AP40" s="8">
        <v>0</v>
      </c>
      <c r="AQ40" s="7">
        <v>0</v>
      </c>
      <c r="AR40" s="12">
        <v>0</v>
      </c>
      <c r="AS40" s="4">
        <v>1</v>
      </c>
      <c r="AT40" s="7">
        <v>117695</v>
      </c>
      <c r="AU40" s="8">
        <v>6</v>
      </c>
      <c r="AV40" s="7">
        <v>42730</v>
      </c>
      <c r="AW40" s="12">
        <v>0.36305705425039297</v>
      </c>
      <c r="AX40" s="7">
        <v>21170</v>
      </c>
      <c r="AY40" s="12">
        <v>0.17987170228132035</v>
      </c>
      <c r="AZ40" s="14">
        <v>2</v>
      </c>
      <c r="BA40" s="14">
        <v>1</v>
      </c>
      <c r="BB40" s="14">
        <v>0</v>
      </c>
      <c r="BC40" s="14">
        <v>1</v>
      </c>
      <c r="BD40" s="14">
        <v>0</v>
      </c>
      <c r="BE40" s="14">
        <v>0</v>
      </c>
      <c r="BF40" s="14">
        <v>2</v>
      </c>
      <c r="BG40" s="18">
        <v>1</v>
      </c>
      <c r="BH40" s="7">
        <v>8785</v>
      </c>
      <c r="BI40" s="17">
        <v>7.4642083351034449E-2</v>
      </c>
      <c r="BJ40" s="1">
        <v>1</v>
      </c>
      <c r="BK40" s="7">
        <v>117695</v>
      </c>
      <c r="BL40" s="8">
        <v>1</v>
      </c>
      <c r="BM40" s="7">
        <v>4035</v>
      </c>
      <c r="BN40" s="12">
        <v>3.4283529461744337E-2</v>
      </c>
      <c r="BO40" s="7">
        <v>10125</v>
      </c>
      <c r="BP40" s="12">
        <v>8.5999999999999993E-2</v>
      </c>
      <c r="BQ40" s="1"/>
      <c r="BR40" s="1"/>
      <c r="BS40" s="1"/>
      <c r="BT40" s="1"/>
      <c r="BU40" s="1"/>
      <c r="BV40" s="1"/>
      <c r="BW40" s="1"/>
      <c r="BX40" s="1"/>
      <c r="BY40" s="1"/>
      <c r="BZ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</row>
    <row r="41" spans="1:110">
      <c r="A41" s="10" t="s">
        <v>324</v>
      </c>
      <c r="B41" s="8" t="s">
        <v>30</v>
      </c>
      <c r="C41" s="8" t="s">
        <v>334</v>
      </c>
      <c r="D41" s="8" t="s">
        <v>5</v>
      </c>
      <c r="E41" s="8">
        <v>1</v>
      </c>
      <c r="F41" s="10" t="s">
        <v>168</v>
      </c>
      <c r="G41" s="8" t="s">
        <v>5</v>
      </c>
      <c r="H41" s="4">
        <v>1</v>
      </c>
      <c r="I41" s="7">
        <v>154347</v>
      </c>
      <c r="J41" s="8">
        <v>9</v>
      </c>
      <c r="K41" s="7">
        <v>81343</v>
      </c>
      <c r="L41" s="12">
        <v>0.52700000000000002</v>
      </c>
      <c r="M41" s="18">
        <v>0</v>
      </c>
      <c r="N41" s="18">
        <v>4</v>
      </c>
      <c r="O41" s="18">
        <v>0</v>
      </c>
      <c r="P41" s="18">
        <v>0</v>
      </c>
      <c r="Q41" s="18">
        <v>4</v>
      </c>
      <c r="R41" s="18">
        <v>0</v>
      </c>
      <c r="S41" s="18">
        <v>1</v>
      </c>
      <c r="T41" s="18">
        <v>5</v>
      </c>
      <c r="U41" s="7">
        <v>41762</v>
      </c>
      <c r="V41" s="17">
        <v>0.27057215235799853</v>
      </c>
      <c r="W41" s="4">
        <v>1</v>
      </c>
      <c r="X41" s="7">
        <v>133363</v>
      </c>
      <c r="Y41" s="8">
        <v>11</v>
      </c>
      <c r="Z41" s="7">
        <v>104782</v>
      </c>
      <c r="AA41" s="12">
        <v>0.78569018393407464</v>
      </c>
      <c r="AB41" s="7">
        <v>0</v>
      </c>
      <c r="AC41" s="12">
        <v>0</v>
      </c>
      <c r="AD41" s="14">
        <v>0</v>
      </c>
      <c r="AE41" s="14">
        <v>5</v>
      </c>
      <c r="AF41" s="14">
        <v>0</v>
      </c>
      <c r="AG41" s="14">
        <v>1</v>
      </c>
      <c r="AH41" s="14">
        <v>3</v>
      </c>
      <c r="AI41" s="14">
        <v>0</v>
      </c>
      <c r="AJ41" s="14">
        <v>2</v>
      </c>
      <c r="AK41" s="18">
        <v>3</v>
      </c>
      <c r="AL41" s="7">
        <v>31114</v>
      </c>
      <c r="AM41" s="17">
        <v>0.23330309006246111</v>
      </c>
      <c r="AN41" s="4">
        <v>1</v>
      </c>
      <c r="AO41" s="7">
        <v>130561</v>
      </c>
      <c r="AP41" s="8">
        <v>0</v>
      </c>
      <c r="AQ41" s="7">
        <v>0</v>
      </c>
      <c r="AR41" s="12">
        <v>0</v>
      </c>
      <c r="AS41" s="4">
        <v>1</v>
      </c>
      <c r="AT41" s="7">
        <v>124014</v>
      </c>
      <c r="AU41" s="8">
        <v>9</v>
      </c>
      <c r="AV41" s="7">
        <v>80675</v>
      </c>
      <c r="AW41" s="12">
        <v>0.65053139161707552</v>
      </c>
      <c r="AX41" s="7">
        <v>5735</v>
      </c>
      <c r="AY41" s="12">
        <v>4.6244778815295047E-2</v>
      </c>
      <c r="AZ41" s="14">
        <v>1</v>
      </c>
      <c r="BA41" s="14">
        <v>2</v>
      </c>
      <c r="BB41" s="14">
        <v>4</v>
      </c>
      <c r="BC41" s="14">
        <v>0</v>
      </c>
      <c r="BD41" s="14">
        <v>1</v>
      </c>
      <c r="BE41" s="14">
        <v>1</v>
      </c>
      <c r="BF41" s="14">
        <v>0</v>
      </c>
      <c r="BG41" s="18">
        <v>1</v>
      </c>
      <c r="BH41" s="7">
        <v>7800</v>
      </c>
      <c r="BI41" s="17">
        <v>6.2896124631090039E-2</v>
      </c>
      <c r="BJ41" s="1">
        <v>1</v>
      </c>
      <c r="BK41" s="7">
        <v>124014</v>
      </c>
      <c r="BL41" s="8">
        <v>0</v>
      </c>
      <c r="BM41" s="7">
        <v>0</v>
      </c>
      <c r="BN41" s="12">
        <v>0</v>
      </c>
      <c r="BO41" s="7">
        <v>0</v>
      </c>
      <c r="BP41" s="12">
        <v>0</v>
      </c>
      <c r="BQ41" s="1"/>
      <c r="BR41" s="1"/>
      <c r="BS41" s="1"/>
      <c r="BT41" s="1"/>
      <c r="BU41" s="1"/>
      <c r="BV41" s="1"/>
      <c r="BW41" s="1"/>
      <c r="BX41" s="1"/>
      <c r="BY41" s="1"/>
      <c r="BZ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spans="1:110">
      <c r="A42" s="10" t="s">
        <v>324</v>
      </c>
      <c r="B42" s="8" t="s">
        <v>30</v>
      </c>
      <c r="C42" s="8" t="s">
        <v>334</v>
      </c>
      <c r="D42" s="8" t="s">
        <v>5</v>
      </c>
      <c r="F42" s="2" t="s">
        <v>169</v>
      </c>
      <c r="G42" s="1" t="s">
        <v>6</v>
      </c>
      <c r="H42" s="4"/>
      <c r="I42" s="3"/>
      <c r="J42" s="1"/>
      <c r="K42" s="3"/>
      <c r="L42" s="13"/>
      <c r="M42" s="18"/>
      <c r="N42" s="18"/>
      <c r="O42" s="18"/>
      <c r="P42" s="18"/>
      <c r="Q42" s="18"/>
      <c r="R42" s="18"/>
      <c r="S42" s="18"/>
      <c r="T42" s="18"/>
      <c r="U42" s="3"/>
      <c r="V42" s="17"/>
      <c r="W42" s="4">
        <v>1</v>
      </c>
      <c r="X42" s="3">
        <v>61028</v>
      </c>
      <c r="Y42" s="1">
        <v>5</v>
      </c>
      <c r="Z42" s="3">
        <v>33801</v>
      </c>
      <c r="AA42" s="13">
        <v>0.55386052303860522</v>
      </c>
      <c r="AB42" s="3">
        <v>14844</v>
      </c>
      <c r="AC42" s="12">
        <v>0.24323261453758929</v>
      </c>
      <c r="AD42" s="14">
        <v>0</v>
      </c>
      <c r="AE42" s="14">
        <v>1</v>
      </c>
      <c r="AF42" s="14">
        <v>0</v>
      </c>
      <c r="AG42" s="14">
        <v>4</v>
      </c>
      <c r="AH42" s="14">
        <v>0</v>
      </c>
      <c r="AI42" s="14">
        <v>0</v>
      </c>
      <c r="AJ42" s="14">
        <v>0</v>
      </c>
      <c r="AK42" s="18">
        <v>0</v>
      </c>
      <c r="AL42" s="3">
        <v>0</v>
      </c>
      <c r="AM42" s="17">
        <v>0</v>
      </c>
      <c r="AN42" s="4">
        <v>1</v>
      </c>
      <c r="AO42" s="3">
        <v>72364</v>
      </c>
      <c r="AP42" s="1">
        <v>0</v>
      </c>
      <c r="AQ42" s="3">
        <v>0</v>
      </c>
      <c r="AR42" s="13">
        <v>0</v>
      </c>
      <c r="AS42" s="4">
        <v>1</v>
      </c>
      <c r="AT42" s="3">
        <v>80769</v>
      </c>
      <c r="AU42" s="1">
        <v>5</v>
      </c>
      <c r="AV42" s="3">
        <v>44705</v>
      </c>
      <c r="AW42" s="13">
        <v>0.553492057596355</v>
      </c>
      <c r="AX42" s="3">
        <v>19435</v>
      </c>
      <c r="AY42" s="12">
        <v>0.24062449702237246</v>
      </c>
      <c r="AZ42" s="14">
        <v>0</v>
      </c>
      <c r="BA42" s="14">
        <v>2</v>
      </c>
      <c r="BB42" s="14">
        <v>0</v>
      </c>
      <c r="BC42" s="14">
        <v>2</v>
      </c>
      <c r="BD42" s="14">
        <v>1</v>
      </c>
      <c r="BE42" s="14">
        <v>0</v>
      </c>
      <c r="BF42" s="14">
        <v>0</v>
      </c>
      <c r="BG42" s="18">
        <v>0</v>
      </c>
      <c r="BH42" s="3">
        <v>0</v>
      </c>
      <c r="BI42" s="17">
        <v>0</v>
      </c>
      <c r="BJ42" s="1">
        <v>1</v>
      </c>
      <c r="BK42" s="3">
        <v>80769</v>
      </c>
      <c r="BL42" s="1">
        <v>0</v>
      </c>
      <c r="BM42" s="3">
        <v>0</v>
      </c>
      <c r="BN42" s="13">
        <v>0</v>
      </c>
      <c r="BO42" s="3">
        <v>0</v>
      </c>
      <c r="BP42" s="12">
        <v>0</v>
      </c>
      <c r="BQ42" s="1"/>
      <c r="BR42" s="1"/>
      <c r="BS42" s="1"/>
      <c r="BT42" s="1"/>
      <c r="BU42" s="1"/>
      <c r="BV42" s="1"/>
      <c r="BW42" s="1"/>
      <c r="BX42" s="1"/>
      <c r="BY42" s="1"/>
      <c r="BZ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spans="1:110">
      <c r="A43" s="10" t="s">
        <v>324</v>
      </c>
      <c r="B43" s="8" t="s">
        <v>30</v>
      </c>
      <c r="C43" s="8" t="s">
        <v>334</v>
      </c>
      <c r="D43" s="8" t="s">
        <v>5</v>
      </c>
      <c r="F43" s="10" t="s">
        <v>178</v>
      </c>
      <c r="G43" s="8" t="s">
        <v>7</v>
      </c>
      <c r="H43" s="4">
        <v>1</v>
      </c>
      <c r="I43" s="7">
        <v>183316</v>
      </c>
      <c r="J43" s="8">
        <v>13</v>
      </c>
      <c r="K43" s="7">
        <v>114229</v>
      </c>
      <c r="L43" s="12">
        <v>0.62309999999999999</v>
      </c>
      <c r="M43" s="18">
        <v>0</v>
      </c>
      <c r="N43" s="18">
        <v>4</v>
      </c>
      <c r="O43" s="18">
        <v>0</v>
      </c>
      <c r="P43" s="18">
        <v>5</v>
      </c>
      <c r="Q43" s="18">
        <v>4</v>
      </c>
      <c r="R43" s="18">
        <v>0</v>
      </c>
      <c r="S43" s="18">
        <v>0</v>
      </c>
      <c r="T43" s="18">
        <v>3</v>
      </c>
      <c r="U43" s="7">
        <v>19219</v>
      </c>
      <c r="V43" s="17">
        <v>0.10484082131401515</v>
      </c>
      <c r="W43" s="4">
        <v>1</v>
      </c>
      <c r="X43" s="7">
        <v>183273</v>
      </c>
      <c r="Y43" s="8">
        <v>17</v>
      </c>
      <c r="Z43" s="7">
        <v>126643</v>
      </c>
      <c r="AA43" s="12">
        <v>0.69100740425485474</v>
      </c>
      <c r="AB43" s="7">
        <v>23018</v>
      </c>
      <c r="AC43" s="12">
        <v>0.12559405913582469</v>
      </c>
      <c r="AD43" s="14">
        <v>0</v>
      </c>
      <c r="AE43" s="14">
        <v>9</v>
      </c>
      <c r="AF43" s="14">
        <v>0</v>
      </c>
      <c r="AG43" s="14">
        <v>3</v>
      </c>
      <c r="AH43" s="14">
        <v>4</v>
      </c>
      <c r="AI43" s="14">
        <v>0</v>
      </c>
      <c r="AJ43" s="14">
        <v>1</v>
      </c>
      <c r="AK43" s="18">
        <v>2</v>
      </c>
      <c r="AL43" s="7">
        <v>16862</v>
      </c>
      <c r="AM43" s="17">
        <v>9.2004823405520728E-2</v>
      </c>
      <c r="AN43" s="4">
        <v>1</v>
      </c>
      <c r="AO43" s="7">
        <v>199544</v>
      </c>
      <c r="AP43" s="8">
        <v>0</v>
      </c>
      <c r="AQ43" s="7">
        <v>0</v>
      </c>
      <c r="AR43" s="12">
        <v>0</v>
      </c>
      <c r="AS43" s="4">
        <v>1</v>
      </c>
      <c r="AT43" s="7">
        <v>211784</v>
      </c>
      <c r="AU43" s="8">
        <v>14</v>
      </c>
      <c r="AV43" s="7">
        <v>103650</v>
      </c>
      <c r="AW43" s="12">
        <v>0.489413742303479</v>
      </c>
      <c r="AX43" s="7">
        <v>34890</v>
      </c>
      <c r="AY43" s="12">
        <v>0.16474332338609149</v>
      </c>
      <c r="AZ43" s="14">
        <v>1</v>
      </c>
      <c r="BA43" s="14">
        <v>6</v>
      </c>
      <c r="BB43" s="14">
        <v>2</v>
      </c>
      <c r="BC43" s="14">
        <v>5</v>
      </c>
      <c r="BD43" s="14">
        <v>0</v>
      </c>
      <c r="BE43" s="14">
        <v>0</v>
      </c>
      <c r="BF43" s="14">
        <v>0</v>
      </c>
      <c r="BG43" s="18">
        <v>0</v>
      </c>
      <c r="BH43" s="7">
        <v>0</v>
      </c>
      <c r="BI43" s="17">
        <v>0</v>
      </c>
      <c r="BJ43" s="1">
        <v>1</v>
      </c>
      <c r="BK43" s="7">
        <v>211784</v>
      </c>
      <c r="BL43" s="8">
        <v>0</v>
      </c>
      <c r="BM43" s="7">
        <v>0</v>
      </c>
      <c r="BN43" s="12">
        <v>0</v>
      </c>
      <c r="BO43" s="7">
        <v>2380</v>
      </c>
      <c r="BP43" s="12">
        <v>1.12E-2</v>
      </c>
      <c r="BQ43" s="1"/>
      <c r="BR43" s="1"/>
      <c r="BS43" s="1"/>
      <c r="BT43" s="1"/>
      <c r="BU43" s="1"/>
      <c r="BV43" s="1"/>
      <c r="BW43" s="1"/>
      <c r="BX43" s="1"/>
      <c r="BY43" s="1"/>
      <c r="BZ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spans="1:110">
      <c r="A44" s="10" t="s">
        <v>324</v>
      </c>
      <c r="B44" s="8" t="s">
        <v>30</v>
      </c>
      <c r="C44" s="8" t="s">
        <v>334</v>
      </c>
      <c r="D44" s="8" t="s">
        <v>5</v>
      </c>
      <c r="F44" s="10" t="s">
        <v>180</v>
      </c>
      <c r="G44" s="8" t="s">
        <v>8</v>
      </c>
      <c r="H44" s="4">
        <v>1</v>
      </c>
      <c r="I44" s="7">
        <v>58315</v>
      </c>
      <c r="J44" s="8">
        <v>5</v>
      </c>
      <c r="K44" s="7">
        <v>44175</v>
      </c>
      <c r="L44" s="12">
        <v>0.75749999999999995</v>
      </c>
      <c r="M44" s="18">
        <v>0</v>
      </c>
      <c r="N44" s="18">
        <v>0</v>
      </c>
      <c r="O44" s="18">
        <v>0</v>
      </c>
      <c r="P44" s="18">
        <v>2</v>
      </c>
      <c r="Q44" s="18">
        <v>3</v>
      </c>
      <c r="R44" s="18">
        <v>0</v>
      </c>
      <c r="S44" s="18">
        <v>0</v>
      </c>
      <c r="T44" s="18">
        <v>2</v>
      </c>
      <c r="U44" s="7">
        <v>19590</v>
      </c>
      <c r="V44" s="17">
        <v>0.33593415073308752</v>
      </c>
      <c r="W44" s="4">
        <v>1</v>
      </c>
      <c r="X44" s="7">
        <v>59437</v>
      </c>
      <c r="Y44" s="8">
        <v>5</v>
      </c>
      <c r="Z44" s="7">
        <v>36016</v>
      </c>
      <c r="AA44" s="12">
        <v>0.60595252115685516</v>
      </c>
      <c r="AB44" s="7">
        <v>11084</v>
      </c>
      <c r="AC44" s="12">
        <v>0.18648316705082693</v>
      </c>
      <c r="AD44" s="14">
        <v>0</v>
      </c>
      <c r="AE44" s="14">
        <v>2</v>
      </c>
      <c r="AF44" s="14">
        <v>0</v>
      </c>
      <c r="AG44" s="14">
        <v>0</v>
      </c>
      <c r="AH44" s="14">
        <v>1</v>
      </c>
      <c r="AI44" s="14">
        <v>0</v>
      </c>
      <c r="AJ44" s="14">
        <v>2</v>
      </c>
      <c r="AK44" s="18">
        <v>2</v>
      </c>
      <c r="AL44" s="7">
        <v>17070</v>
      </c>
      <c r="AM44" s="17">
        <v>0.2871948449618924</v>
      </c>
      <c r="AN44" s="4">
        <v>1</v>
      </c>
      <c r="AO44" s="7">
        <v>63026</v>
      </c>
      <c r="AP44" s="8">
        <v>0</v>
      </c>
      <c r="AQ44" s="7">
        <v>0</v>
      </c>
      <c r="AR44" s="12">
        <v>0</v>
      </c>
      <c r="AS44" s="4">
        <v>1</v>
      </c>
      <c r="AT44" s="7">
        <v>65412</v>
      </c>
      <c r="AU44" s="8">
        <v>6</v>
      </c>
      <c r="AV44" s="7">
        <v>40945</v>
      </c>
      <c r="AW44" s="12">
        <v>0.62595548217452457</v>
      </c>
      <c r="AX44" s="7">
        <v>8630</v>
      </c>
      <c r="AY44" s="12">
        <v>0.13193297865835016</v>
      </c>
      <c r="AZ44" s="14">
        <v>0</v>
      </c>
      <c r="BA44" s="14">
        <v>2</v>
      </c>
      <c r="BB44" s="14">
        <v>2</v>
      </c>
      <c r="BC44" s="14">
        <v>0</v>
      </c>
      <c r="BD44" s="14">
        <v>1</v>
      </c>
      <c r="BE44" s="14">
        <v>0</v>
      </c>
      <c r="BF44" s="14">
        <v>1</v>
      </c>
      <c r="BG44" s="18">
        <v>1</v>
      </c>
      <c r="BH44" s="7">
        <v>9725</v>
      </c>
      <c r="BI44" s="17">
        <v>0.14867302635602031</v>
      </c>
      <c r="BJ44" s="1">
        <v>1</v>
      </c>
      <c r="BK44" s="7">
        <v>65412</v>
      </c>
      <c r="BL44" s="8">
        <v>1</v>
      </c>
      <c r="BM44" s="7">
        <v>4035</v>
      </c>
      <c r="BN44" s="12">
        <v>6.1685929187305082E-2</v>
      </c>
      <c r="BO44" s="7">
        <v>0</v>
      </c>
      <c r="BP44" s="12">
        <v>0</v>
      </c>
      <c r="BQ44" s="1"/>
      <c r="BR44" s="1"/>
      <c r="BS44" s="1"/>
      <c r="BT44" s="1"/>
      <c r="BU44" s="1"/>
      <c r="BV44" s="1"/>
      <c r="BW44" s="1"/>
      <c r="BX44" s="1"/>
      <c r="BY44" s="1"/>
      <c r="BZ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spans="1:110">
      <c r="A45" s="10" t="s">
        <v>324</v>
      </c>
      <c r="B45" s="8" t="s">
        <v>30</v>
      </c>
      <c r="C45" s="8" t="s">
        <v>334</v>
      </c>
      <c r="D45" s="8" t="s">
        <v>5</v>
      </c>
      <c r="F45" s="10" t="s">
        <v>185</v>
      </c>
      <c r="G45" s="8" t="s">
        <v>9</v>
      </c>
      <c r="H45" s="4">
        <v>1</v>
      </c>
      <c r="I45" s="7">
        <v>65517</v>
      </c>
      <c r="J45" s="8">
        <v>7</v>
      </c>
      <c r="K45" s="7">
        <v>49006</v>
      </c>
      <c r="L45" s="12">
        <v>0.748</v>
      </c>
      <c r="M45" s="18">
        <v>0</v>
      </c>
      <c r="N45" s="18">
        <v>3</v>
      </c>
      <c r="O45" s="18">
        <v>0</v>
      </c>
      <c r="P45" s="18">
        <v>1</v>
      </c>
      <c r="Q45" s="18">
        <v>1</v>
      </c>
      <c r="R45" s="18">
        <v>0</v>
      </c>
      <c r="S45" s="18">
        <v>2</v>
      </c>
      <c r="T45" s="18">
        <v>2</v>
      </c>
      <c r="U45" s="7">
        <v>15180</v>
      </c>
      <c r="V45" s="17">
        <v>0.23169559045743854</v>
      </c>
      <c r="W45" s="4">
        <v>1</v>
      </c>
      <c r="X45" s="7">
        <v>76236</v>
      </c>
      <c r="Y45" s="8">
        <v>6</v>
      </c>
      <c r="Z45" s="7">
        <v>46889</v>
      </c>
      <c r="AA45" s="12">
        <v>0.61505063224723233</v>
      </c>
      <c r="AB45" s="7">
        <v>12167</v>
      </c>
      <c r="AC45" s="12">
        <v>0.15959651608164122</v>
      </c>
      <c r="AD45" s="14">
        <v>0</v>
      </c>
      <c r="AE45" s="14">
        <v>4</v>
      </c>
      <c r="AF45" s="14">
        <v>0</v>
      </c>
      <c r="AG45" s="14">
        <v>0</v>
      </c>
      <c r="AH45" s="14">
        <v>2</v>
      </c>
      <c r="AI45" s="14">
        <v>0</v>
      </c>
      <c r="AJ45" s="14">
        <v>0</v>
      </c>
      <c r="AK45" s="18">
        <v>2</v>
      </c>
      <c r="AL45" s="7">
        <v>13892</v>
      </c>
      <c r="AM45" s="17">
        <v>0.18222362138622172</v>
      </c>
      <c r="AN45" s="4">
        <v>1</v>
      </c>
      <c r="AO45" s="7">
        <v>83101</v>
      </c>
      <c r="AP45" s="8">
        <v>0</v>
      </c>
      <c r="AQ45" s="7">
        <v>0</v>
      </c>
      <c r="AR45" s="12">
        <v>0</v>
      </c>
      <c r="AS45" s="4">
        <v>1</v>
      </c>
      <c r="AT45" s="7">
        <v>89012</v>
      </c>
      <c r="AU45" s="8">
        <v>5</v>
      </c>
      <c r="AV45" s="7">
        <v>41315</v>
      </c>
      <c r="AW45" s="12">
        <v>0.46415090100211209</v>
      </c>
      <c r="AX45" s="7">
        <v>11970</v>
      </c>
      <c r="AY45" s="12">
        <v>0.1344762503932054</v>
      </c>
      <c r="AZ45" s="14">
        <v>0</v>
      </c>
      <c r="BA45" s="14">
        <v>1</v>
      </c>
      <c r="BB45" s="14">
        <v>1</v>
      </c>
      <c r="BC45" s="14">
        <v>0</v>
      </c>
      <c r="BD45" s="14">
        <v>2</v>
      </c>
      <c r="BE45" s="14">
        <v>0</v>
      </c>
      <c r="BF45" s="14">
        <v>1</v>
      </c>
      <c r="BG45" s="18">
        <v>1</v>
      </c>
      <c r="BH45" s="7">
        <v>10070</v>
      </c>
      <c r="BI45" s="17">
        <v>0.11313081382285535</v>
      </c>
      <c r="BJ45" s="1">
        <v>1</v>
      </c>
      <c r="BK45" s="7">
        <v>89012</v>
      </c>
      <c r="BL45" s="8">
        <v>0</v>
      </c>
      <c r="BM45" s="7">
        <v>0</v>
      </c>
      <c r="BN45" s="12">
        <v>0</v>
      </c>
      <c r="BO45" s="7">
        <v>0</v>
      </c>
      <c r="BP45" s="12">
        <v>0</v>
      </c>
      <c r="BQ45" s="1"/>
      <c r="BR45" s="1"/>
      <c r="BS45" s="1"/>
      <c r="BT45" s="1"/>
      <c r="BU45" s="1"/>
      <c r="BV45" s="1"/>
      <c r="BW45" s="1"/>
      <c r="BX45" s="1"/>
      <c r="BY45" s="1"/>
      <c r="BZ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spans="1:110">
      <c r="A46" s="10" t="s">
        <v>324</v>
      </c>
      <c r="B46" s="8" t="s">
        <v>30</v>
      </c>
      <c r="C46" s="8" t="s">
        <v>334</v>
      </c>
      <c r="D46" s="8" t="s">
        <v>5</v>
      </c>
      <c r="F46" s="10" t="s">
        <v>187</v>
      </c>
      <c r="G46" s="8" t="s">
        <v>10</v>
      </c>
      <c r="H46" s="4">
        <v>1</v>
      </c>
      <c r="I46" s="7">
        <v>85410</v>
      </c>
      <c r="J46" s="8">
        <v>6</v>
      </c>
      <c r="K46" s="7">
        <v>32878</v>
      </c>
      <c r="L46" s="12">
        <v>0.38490000000000002</v>
      </c>
      <c r="M46" s="18">
        <v>0</v>
      </c>
      <c r="N46" s="18">
        <v>1</v>
      </c>
      <c r="O46" s="18">
        <v>0</v>
      </c>
      <c r="P46" s="18">
        <v>1</v>
      </c>
      <c r="Q46" s="18">
        <v>4</v>
      </c>
      <c r="R46" s="18">
        <v>0</v>
      </c>
      <c r="S46" s="18">
        <v>0</v>
      </c>
      <c r="T46" s="18">
        <v>1</v>
      </c>
      <c r="U46" s="7">
        <v>6096</v>
      </c>
      <c r="V46" s="17">
        <v>7.1373375482964518E-2</v>
      </c>
      <c r="W46" s="4">
        <v>1</v>
      </c>
      <c r="X46" s="7">
        <v>88073</v>
      </c>
      <c r="Y46" s="8">
        <v>8</v>
      </c>
      <c r="Z46" s="7">
        <v>73306</v>
      </c>
      <c r="AA46" s="12">
        <v>0.83233226982162523</v>
      </c>
      <c r="AB46" s="7">
        <v>0</v>
      </c>
      <c r="AC46" s="12">
        <v>0</v>
      </c>
      <c r="AD46" s="14">
        <v>0</v>
      </c>
      <c r="AE46" s="14">
        <v>8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8">
        <v>0</v>
      </c>
      <c r="AL46" s="7">
        <v>0</v>
      </c>
      <c r="AM46" s="17">
        <v>0</v>
      </c>
      <c r="AN46" s="4">
        <v>1</v>
      </c>
      <c r="AO46" s="7">
        <v>93544</v>
      </c>
      <c r="AP46" s="8">
        <v>0</v>
      </c>
      <c r="AQ46" s="7">
        <v>0</v>
      </c>
      <c r="AR46" s="12">
        <v>0</v>
      </c>
      <c r="AS46" s="4">
        <v>1</v>
      </c>
      <c r="AT46" s="7">
        <v>96786</v>
      </c>
      <c r="AU46" s="8">
        <v>4</v>
      </c>
      <c r="AV46" s="7">
        <v>34930</v>
      </c>
      <c r="AW46" s="12">
        <v>0.36089930361829192</v>
      </c>
      <c r="AX46" s="7">
        <v>19750</v>
      </c>
      <c r="AY46" s="12">
        <v>0.20405843820387246</v>
      </c>
      <c r="AZ46" s="14">
        <v>0</v>
      </c>
      <c r="BA46" s="14">
        <v>4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8">
        <v>0</v>
      </c>
      <c r="BH46" s="7">
        <v>0</v>
      </c>
      <c r="BI46" s="17">
        <v>0</v>
      </c>
      <c r="BJ46" s="1">
        <v>1</v>
      </c>
      <c r="BK46" s="7">
        <v>96786</v>
      </c>
      <c r="BL46" s="8">
        <v>0</v>
      </c>
      <c r="BM46" s="7">
        <v>0</v>
      </c>
      <c r="BN46" s="12">
        <v>0</v>
      </c>
      <c r="BO46" s="7">
        <v>0</v>
      </c>
      <c r="BP46" s="12">
        <v>0</v>
      </c>
      <c r="BQ46" s="1"/>
      <c r="BR46" s="1"/>
      <c r="BS46" s="1"/>
      <c r="BT46" s="1"/>
      <c r="BU46" s="1"/>
      <c r="BV46" s="1"/>
      <c r="BW46" s="1"/>
      <c r="BX46" s="1"/>
      <c r="BY46" s="1"/>
      <c r="BZ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spans="1:110">
      <c r="A47" s="10" t="s">
        <v>324</v>
      </c>
      <c r="B47" s="8" t="s">
        <v>30</v>
      </c>
      <c r="C47" s="8" t="s">
        <v>334</v>
      </c>
      <c r="D47" s="8" t="s">
        <v>5</v>
      </c>
      <c r="F47" s="10" t="s">
        <v>188</v>
      </c>
      <c r="G47" s="8" t="s">
        <v>11</v>
      </c>
      <c r="H47" s="4">
        <v>1</v>
      </c>
      <c r="I47" s="7">
        <v>56006</v>
      </c>
      <c r="J47" s="8">
        <v>6</v>
      </c>
      <c r="K47" s="7">
        <v>49268</v>
      </c>
      <c r="L47" s="12">
        <v>0.87970000000000004</v>
      </c>
      <c r="M47" s="18">
        <v>0</v>
      </c>
      <c r="N47" s="18">
        <v>0</v>
      </c>
      <c r="O47" s="18">
        <v>0</v>
      </c>
      <c r="P47" s="18">
        <v>1</v>
      </c>
      <c r="Q47" s="18">
        <v>0</v>
      </c>
      <c r="R47" s="18">
        <v>0</v>
      </c>
      <c r="S47" s="18">
        <v>5</v>
      </c>
      <c r="T47" s="18">
        <v>6</v>
      </c>
      <c r="U47" s="7">
        <v>49268</v>
      </c>
      <c r="V47" s="17">
        <v>0.87969146162911116</v>
      </c>
      <c r="W47" s="4">
        <v>1</v>
      </c>
      <c r="X47" s="7">
        <v>60254</v>
      </c>
      <c r="Y47" s="8">
        <v>5</v>
      </c>
      <c r="Z47" s="7">
        <v>38071</v>
      </c>
      <c r="AA47" s="12">
        <v>0.63184186941945764</v>
      </c>
      <c r="AB47" s="7">
        <v>16579</v>
      </c>
      <c r="AC47" s="12">
        <v>0.2751518571381153</v>
      </c>
      <c r="AD47" s="14">
        <v>0</v>
      </c>
      <c r="AE47" s="14">
        <v>0</v>
      </c>
      <c r="AF47" s="14">
        <v>0</v>
      </c>
      <c r="AG47" s="14">
        <v>2</v>
      </c>
      <c r="AH47" s="14">
        <v>0</v>
      </c>
      <c r="AI47" s="14">
        <v>0</v>
      </c>
      <c r="AJ47" s="14">
        <v>3</v>
      </c>
      <c r="AK47" s="18">
        <v>2</v>
      </c>
      <c r="AL47" s="7">
        <v>14144</v>
      </c>
      <c r="AM47" s="17">
        <v>0.23473960235005145</v>
      </c>
      <c r="AN47" s="4">
        <v>1</v>
      </c>
      <c r="AO47" s="7">
        <v>63509</v>
      </c>
      <c r="AP47" s="8">
        <v>0</v>
      </c>
      <c r="AQ47" s="7">
        <v>0</v>
      </c>
      <c r="AR47" s="12">
        <v>0</v>
      </c>
      <c r="AS47" s="4">
        <v>1</v>
      </c>
      <c r="AT47" s="7">
        <v>67232</v>
      </c>
      <c r="AU47" s="8">
        <v>7</v>
      </c>
      <c r="AV47" s="7">
        <v>60365</v>
      </c>
      <c r="AW47" s="12">
        <v>0.89786113755354591</v>
      </c>
      <c r="AX47" s="7">
        <v>5695</v>
      </c>
      <c r="AY47" s="12">
        <v>8.4706687291765823E-2</v>
      </c>
      <c r="AZ47" s="14">
        <v>0</v>
      </c>
      <c r="BA47" s="14">
        <v>3</v>
      </c>
      <c r="BB47" s="14">
        <v>0</v>
      </c>
      <c r="BC47" s="14">
        <v>4</v>
      </c>
      <c r="BD47" s="14">
        <v>0</v>
      </c>
      <c r="BE47" s="14">
        <v>0</v>
      </c>
      <c r="BF47" s="14">
        <v>0</v>
      </c>
      <c r="BG47" s="18">
        <v>1</v>
      </c>
      <c r="BH47" s="7">
        <v>7370</v>
      </c>
      <c r="BI47" s="17">
        <v>0.10962041884816753</v>
      </c>
      <c r="BJ47" s="1">
        <v>1</v>
      </c>
      <c r="BK47" s="7">
        <v>67232</v>
      </c>
      <c r="BL47" s="8">
        <v>0</v>
      </c>
      <c r="BM47" s="7">
        <v>0</v>
      </c>
      <c r="BN47" s="12">
        <v>0</v>
      </c>
      <c r="BO47" s="7">
        <v>0</v>
      </c>
      <c r="BP47" s="12">
        <v>0</v>
      </c>
      <c r="BQ47" s="1"/>
      <c r="BR47" s="1"/>
      <c r="BS47" s="1"/>
      <c r="BT47" s="1"/>
      <c r="BU47" s="1"/>
      <c r="BV47" s="1"/>
      <c r="BW47" s="1"/>
      <c r="BX47" s="1"/>
      <c r="BY47" s="1"/>
      <c r="BZ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spans="1:110">
      <c r="A48" s="10" t="s">
        <v>333</v>
      </c>
      <c r="B48" s="8" t="s">
        <v>135</v>
      </c>
      <c r="C48" s="8" t="s">
        <v>335</v>
      </c>
      <c r="D48" t="s">
        <v>379</v>
      </c>
      <c r="E48" s="8">
        <v>1</v>
      </c>
      <c r="F48" s="10" t="s">
        <v>256</v>
      </c>
      <c r="G48" s="8" t="s">
        <v>524</v>
      </c>
      <c r="H48" s="4">
        <v>1</v>
      </c>
      <c r="I48" s="7">
        <v>134213</v>
      </c>
      <c r="J48" s="8">
        <v>0</v>
      </c>
      <c r="K48" s="7">
        <v>0</v>
      </c>
      <c r="L48" s="12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18">
        <f>SUM(Tabla2[[#This Row],[EST_BBVV91]:[ESTyPARyVIV_BBVV91]])</f>
        <v>0</v>
      </c>
      <c r="U48" s="7">
        <v>0</v>
      </c>
      <c r="V48" s="17">
        <v>0</v>
      </c>
      <c r="W48" s="4">
        <v>1</v>
      </c>
      <c r="X48" s="7">
        <v>147667</v>
      </c>
      <c r="Y48" s="8">
        <v>1</v>
      </c>
      <c r="Z48" s="7">
        <v>4625</v>
      </c>
      <c r="AA48" s="12">
        <v>3.1320471059884739E-2</v>
      </c>
      <c r="AB48" s="7">
        <v>10658</v>
      </c>
      <c r="AC48" s="12">
        <v>7.2175909309459801E-2</v>
      </c>
      <c r="AD48" s="14">
        <v>1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8">
        <v>0</v>
      </c>
      <c r="AL48" s="7">
        <v>0</v>
      </c>
      <c r="AM48" s="17">
        <v>0</v>
      </c>
      <c r="AN48" s="4">
        <v>1</v>
      </c>
      <c r="AO48" s="7">
        <v>172110</v>
      </c>
      <c r="AP48" s="8">
        <v>7</v>
      </c>
      <c r="AQ48" s="7">
        <v>44445</v>
      </c>
      <c r="AR48" s="12">
        <v>0.25819999999999999</v>
      </c>
      <c r="AS48" s="4">
        <v>1</v>
      </c>
      <c r="AT48" s="7">
        <v>176298</v>
      </c>
      <c r="AU48" s="8">
        <v>9</v>
      </c>
      <c r="AV48" s="7">
        <v>57030</v>
      </c>
      <c r="AW48" s="12">
        <v>0.32348636966953681</v>
      </c>
      <c r="AX48" s="7">
        <v>18815</v>
      </c>
      <c r="AY48" s="12">
        <v>0.10672270814189611</v>
      </c>
      <c r="AZ48" s="14">
        <v>1</v>
      </c>
      <c r="BA48" s="14">
        <v>3</v>
      </c>
      <c r="BB48" s="14">
        <v>4</v>
      </c>
      <c r="BC48" s="14">
        <v>0</v>
      </c>
      <c r="BD48" s="14">
        <v>1</v>
      </c>
      <c r="BE48" s="14">
        <v>0</v>
      </c>
      <c r="BF48" s="14">
        <v>0</v>
      </c>
      <c r="BG48" s="18">
        <v>0</v>
      </c>
      <c r="BH48" s="7">
        <v>0</v>
      </c>
      <c r="BI48" s="17">
        <v>0</v>
      </c>
      <c r="BJ48" s="1">
        <v>1</v>
      </c>
      <c r="BK48" s="7">
        <v>176298</v>
      </c>
      <c r="BL48" s="8">
        <v>11</v>
      </c>
      <c r="BM48" s="7">
        <v>88225</v>
      </c>
      <c r="BN48" s="12">
        <v>0.50043108827099569</v>
      </c>
      <c r="BO48" s="7">
        <v>4985</v>
      </c>
      <c r="BP48" s="12">
        <v>2.8299999999999999E-2</v>
      </c>
      <c r="BQ48" s="1"/>
      <c r="BR48" s="1"/>
      <c r="BS48" s="1"/>
      <c r="BT48" s="1"/>
      <c r="BU48" s="1"/>
      <c r="BV48" s="1"/>
      <c r="BW48" s="1"/>
      <c r="BX48" s="1"/>
      <c r="BY48" s="1"/>
      <c r="BZ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spans="1:110">
      <c r="A49" s="2" t="s">
        <v>333</v>
      </c>
      <c r="B49" s="1" t="s">
        <v>135</v>
      </c>
      <c r="C49" s="1" t="s">
        <v>335</v>
      </c>
      <c r="D49" t="s">
        <v>379</v>
      </c>
      <c r="E49" s="1"/>
      <c r="F49" s="2" t="s">
        <v>276</v>
      </c>
      <c r="G49" s="1" t="s">
        <v>107</v>
      </c>
      <c r="H49" s="4"/>
      <c r="I49" s="3"/>
      <c r="J49" s="1"/>
      <c r="K49" s="3"/>
      <c r="L49" s="13"/>
      <c r="M49" s="18"/>
      <c r="N49" s="18"/>
      <c r="O49" s="18"/>
      <c r="P49" s="18"/>
      <c r="Q49" s="18"/>
      <c r="R49" s="18"/>
      <c r="S49" s="18"/>
      <c r="T49" s="18"/>
      <c r="U49" s="3"/>
      <c r="V49" s="17"/>
      <c r="W49" s="4"/>
      <c r="X49" s="3"/>
      <c r="Y49" s="1"/>
      <c r="Z49" s="3"/>
      <c r="AA49" s="13"/>
      <c r="AB49" s="3"/>
      <c r="AC49" s="12"/>
      <c r="AD49" s="14"/>
      <c r="AE49" s="14"/>
      <c r="AF49" s="14"/>
      <c r="AG49" s="14"/>
      <c r="AH49" s="14"/>
      <c r="AI49" s="14"/>
      <c r="AJ49" s="14"/>
      <c r="AK49" s="18"/>
      <c r="AL49" s="3"/>
      <c r="AM49" s="17"/>
      <c r="AN49" s="1"/>
      <c r="AO49" s="3"/>
      <c r="AP49" s="1"/>
      <c r="AQ49" s="3"/>
      <c r="AR49" s="13"/>
      <c r="AS49" s="4">
        <v>1</v>
      </c>
      <c r="AT49" s="3">
        <v>50747</v>
      </c>
      <c r="AU49" s="1">
        <v>3</v>
      </c>
      <c r="AV49" s="3">
        <v>18260</v>
      </c>
      <c r="AW49" s="13">
        <v>0.35982422606262437</v>
      </c>
      <c r="AX49" s="3">
        <v>7910</v>
      </c>
      <c r="AY49" s="12">
        <v>0.15587128303150924</v>
      </c>
      <c r="AZ49" s="14">
        <v>0</v>
      </c>
      <c r="BA49" s="14">
        <v>2</v>
      </c>
      <c r="BB49" s="14">
        <v>1</v>
      </c>
      <c r="BC49" s="14">
        <v>0</v>
      </c>
      <c r="BD49" s="14">
        <v>0</v>
      </c>
      <c r="BE49" s="14">
        <v>0</v>
      </c>
      <c r="BF49" s="14">
        <v>0</v>
      </c>
      <c r="BG49" s="18">
        <v>0</v>
      </c>
      <c r="BH49" s="3">
        <v>0</v>
      </c>
      <c r="BI49" s="17">
        <v>0</v>
      </c>
      <c r="BJ49" s="1">
        <v>1</v>
      </c>
      <c r="BK49" s="3">
        <v>50747</v>
      </c>
      <c r="BL49" s="1">
        <v>2</v>
      </c>
      <c r="BM49" s="3">
        <v>7625</v>
      </c>
      <c r="BN49" s="13">
        <v>0.1502551874987684</v>
      </c>
      <c r="BO49" s="3">
        <v>0</v>
      </c>
      <c r="BP49" s="12">
        <v>0</v>
      </c>
      <c r="BQ49" s="1"/>
      <c r="BR49" s="1"/>
      <c r="BS49" s="1"/>
      <c r="BT49" s="1"/>
      <c r="BU49" s="1"/>
      <c r="BV49" s="1"/>
      <c r="BW49" s="1"/>
      <c r="BX49" s="1"/>
      <c r="BY49" s="1"/>
      <c r="BZ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spans="1:110">
      <c r="A50" s="10" t="s">
        <v>331</v>
      </c>
      <c r="B50" s="8" t="s">
        <v>70</v>
      </c>
      <c r="C50" s="8" t="s">
        <v>336</v>
      </c>
      <c r="D50" s="8" t="s">
        <v>52</v>
      </c>
      <c r="E50" s="8">
        <v>1</v>
      </c>
      <c r="F50" s="10" t="s">
        <v>212</v>
      </c>
      <c r="G50" s="8" t="s">
        <v>52</v>
      </c>
      <c r="H50" s="4">
        <v>1</v>
      </c>
      <c r="I50" s="7">
        <v>56269</v>
      </c>
      <c r="J50" s="8">
        <v>0</v>
      </c>
      <c r="K50" s="7">
        <v>0</v>
      </c>
      <c r="L50" s="12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18">
        <f>SUM(Tabla2[[#This Row],[EST_BBVV91]:[ESTyPARyVIV_BBVV91]])</f>
        <v>0</v>
      </c>
      <c r="U50" s="7">
        <v>0</v>
      </c>
      <c r="V50" s="17">
        <v>0</v>
      </c>
      <c r="W50" s="4">
        <v>1</v>
      </c>
      <c r="X50" s="7">
        <v>63251</v>
      </c>
      <c r="Y50" s="8">
        <v>2</v>
      </c>
      <c r="Z50" s="7">
        <v>10704</v>
      </c>
      <c r="AA50" s="12">
        <v>0.16923052599958893</v>
      </c>
      <c r="AB50" s="7">
        <v>1447</v>
      </c>
      <c r="AC50" s="12">
        <v>2.2877108662313638E-2</v>
      </c>
      <c r="AD50" s="14">
        <v>1</v>
      </c>
      <c r="AE50" s="14">
        <v>0</v>
      </c>
      <c r="AF50" s="14">
        <v>0</v>
      </c>
      <c r="AG50" s="14">
        <v>0</v>
      </c>
      <c r="AH50" s="14">
        <v>1</v>
      </c>
      <c r="AI50" s="14">
        <v>0</v>
      </c>
      <c r="AJ50" s="14">
        <v>0</v>
      </c>
      <c r="AK50" s="18">
        <v>0</v>
      </c>
      <c r="AL50" s="7">
        <v>0</v>
      </c>
      <c r="AM50" s="17">
        <v>0</v>
      </c>
      <c r="AN50" s="4">
        <v>1</v>
      </c>
      <c r="AO50" s="7">
        <v>70124</v>
      </c>
      <c r="AP50" s="8">
        <v>0</v>
      </c>
      <c r="AQ50" s="7">
        <v>0</v>
      </c>
      <c r="AR50" s="12">
        <v>0</v>
      </c>
      <c r="AS50" s="4">
        <v>1</v>
      </c>
      <c r="AT50" s="7">
        <v>75071</v>
      </c>
      <c r="AU50" s="8">
        <v>2</v>
      </c>
      <c r="AV50" s="7">
        <v>6740</v>
      </c>
      <c r="AW50" s="12">
        <v>8.9781673349229402E-2</v>
      </c>
      <c r="AX50" s="7">
        <v>5935</v>
      </c>
      <c r="AY50" s="12">
        <v>7.9058491294907482E-2</v>
      </c>
      <c r="AZ50" s="14">
        <v>2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8">
        <v>0</v>
      </c>
      <c r="BH50" s="7">
        <v>0</v>
      </c>
      <c r="BI50" s="17">
        <v>0</v>
      </c>
      <c r="BJ50" s="1">
        <v>1</v>
      </c>
      <c r="BK50" s="7">
        <v>75071</v>
      </c>
      <c r="BL50" s="8">
        <v>0</v>
      </c>
      <c r="BM50" s="7">
        <v>0</v>
      </c>
      <c r="BN50" s="12">
        <v>0</v>
      </c>
      <c r="BO50" s="7">
        <v>0</v>
      </c>
      <c r="BP50" s="12">
        <v>0</v>
      </c>
      <c r="BQ50" s="1"/>
      <c r="BR50" s="1"/>
      <c r="BS50" s="1"/>
      <c r="BT50" s="1"/>
      <c r="BU50" s="1"/>
      <c r="BV50" s="1"/>
      <c r="BW50" s="1"/>
      <c r="BX50" s="1"/>
      <c r="BY50" s="1"/>
      <c r="BZ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spans="1:110">
      <c r="A51" s="10" t="s">
        <v>331</v>
      </c>
      <c r="B51" s="8" t="s">
        <v>70</v>
      </c>
      <c r="C51" s="8" t="s">
        <v>336</v>
      </c>
      <c r="D51" s="8" t="s">
        <v>52</v>
      </c>
      <c r="F51" s="10" t="s">
        <v>215</v>
      </c>
      <c r="G51" s="8" t="s">
        <v>53</v>
      </c>
      <c r="H51" s="4">
        <v>1</v>
      </c>
      <c r="I51" s="7">
        <v>50910</v>
      </c>
      <c r="J51" s="8">
        <v>2</v>
      </c>
      <c r="K51" s="7">
        <v>9704</v>
      </c>
      <c r="L51" s="12">
        <v>0.19059999999999999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2</v>
      </c>
      <c r="T51" s="18">
        <v>0</v>
      </c>
      <c r="U51" s="7">
        <v>0</v>
      </c>
      <c r="V51" s="17">
        <v>0</v>
      </c>
      <c r="W51" s="4">
        <v>1</v>
      </c>
      <c r="X51" s="7">
        <v>48086</v>
      </c>
      <c r="Y51" s="8">
        <v>4</v>
      </c>
      <c r="Z51" s="7">
        <v>23138</v>
      </c>
      <c r="AA51" s="12">
        <v>0.4811795533003369</v>
      </c>
      <c r="AB51" s="7">
        <v>1873</v>
      </c>
      <c r="AC51" s="12">
        <v>3.8951046042507174E-2</v>
      </c>
      <c r="AD51" s="14">
        <v>0</v>
      </c>
      <c r="AE51" s="14">
        <v>1</v>
      </c>
      <c r="AF51" s="14">
        <v>0</v>
      </c>
      <c r="AG51" s="14">
        <v>2</v>
      </c>
      <c r="AH51" s="14">
        <v>0</v>
      </c>
      <c r="AI51" s="14">
        <v>1</v>
      </c>
      <c r="AJ51" s="14">
        <v>0</v>
      </c>
      <c r="AK51" s="18">
        <v>1</v>
      </c>
      <c r="AL51" s="7">
        <v>4864</v>
      </c>
      <c r="AM51" s="17">
        <v>0.1011521024830512</v>
      </c>
      <c r="AN51" s="4">
        <v>1</v>
      </c>
      <c r="AO51" s="7">
        <v>50470</v>
      </c>
      <c r="AP51" s="8">
        <v>0</v>
      </c>
      <c r="AQ51" s="7">
        <v>0</v>
      </c>
      <c r="AR51" s="12">
        <v>0</v>
      </c>
      <c r="AS51" s="4">
        <v>1</v>
      </c>
      <c r="AT51" s="7">
        <v>51924</v>
      </c>
      <c r="AU51" s="8">
        <v>4</v>
      </c>
      <c r="AV51" s="7">
        <v>20160</v>
      </c>
      <c r="AW51" s="12">
        <v>0.3882597642708574</v>
      </c>
      <c r="AX51" s="7">
        <v>6910</v>
      </c>
      <c r="AY51" s="12">
        <v>0.13307911563053693</v>
      </c>
      <c r="AZ51" s="14">
        <v>2</v>
      </c>
      <c r="BA51" s="14">
        <v>0</v>
      </c>
      <c r="BB51" s="14">
        <v>0</v>
      </c>
      <c r="BC51" s="14">
        <v>1</v>
      </c>
      <c r="BD51" s="14">
        <v>0</v>
      </c>
      <c r="BE51" s="14">
        <v>0</v>
      </c>
      <c r="BF51" s="14">
        <v>1</v>
      </c>
      <c r="BG51" s="18">
        <v>0</v>
      </c>
      <c r="BH51" s="7">
        <v>0</v>
      </c>
      <c r="BI51" s="17">
        <v>0</v>
      </c>
      <c r="BJ51" s="1">
        <v>1</v>
      </c>
      <c r="BK51" s="7">
        <v>51924</v>
      </c>
      <c r="BL51" s="8">
        <v>0</v>
      </c>
      <c r="BM51" s="7">
        <v>0</v>
      </c>
      <c r="BN51" s="12">
        <v>0</v>
      </c>
      <c r="BO51" s="7">
        <v>2375</v>
      </c>
      <c r="BP51" s="12">
        <v>4.5699999999999998E-2</v>
      </c>
      <c r="BQ51" s="1"/>
      <c r="BR51" s="1"/>
      <c r="BS51" s="1"/>
      <c r="BT51" s="1"/>
      <c r="BU51" s="1"/>
      <c r="BV51" s="1"/>
      <c r="BW51" s="1"/>
      <c r="BX51" s="1"/>
      <c r="BY51" s="1"/>
      <c r="BZ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spans="1:110">
      <c r="A52" s="10" t="s">
        <v>324</v>
      </c>
      <c r="B52" s="8" t="s">
        <v>30</v>
      </c>
      <c r="C52" s="8" t="s">
        <v>337</v>
      </c>
      <c r="D52" s="8" t="s">
        <v>12</v>
      </c>
      <c r="E52" s="8">
        <v>1</v>
      </c>
      <c r="F52" s="10" t="s">
        <v>170</v>
      </c>
      <c r="G52" s="8" t="s">
        <v>12</v>
      </c>
      <c r="H52" s="4">
        <v>1</v>
      </c>
      <c r="I52" s="7">
        <v>302154</v>
      </c>
      <c r="J52" s="8">
        <v>15</v>
      </c>
      <c r="K52" s="7">
        <v>104836</v>
      </c>
      <c r="L52" s="12">
        <v>0.34699999999999998</v>
      </c>
      <c r="M52" s="18">
        <v>0</v>
      </c>
      <c r="N52" s="18">
        <v>8</v>
      </c>
      <c r="O52" s="18">
        <v>0</v>
      </c>
      <c r="P52" s="18">
        <v>6</v>
      </c>
      <c r="Q52" s="18">
        <v>1</v>
      </c>
      <c r="R52" s="18">
        <v>0</v>
      </c>
      <c r="S52" s="18">
        <v>0</v>
      </c>
      <c r="T52" s="18">
        <v>1</v>
      </c>
      <c r="U52" s="7">
        <v>5411</v>
      </c>
      <c r="V52" s="17">
        <v>1.7908086604843887E-2</v>
      </c>
      <c r="W52" s="4">
        <v>1</v>
      </c>
      <c r="X52" s="7">
        <v>308072</v>
      </c>
      <c r="Y52" s="8">
        <v>22</v>
      </c>
      <c r="Z52" s="7">
        <v>185477</v>
      </c>
      <c r="AA52" s="12">
        <v>0.60205731127788309</v>
      </c>
      <c r="AB52" s="7">
        <v>32643</v>
      </c>
      <c r="AC52" s="12">
        <v>0.10595899659819782</v>
      </c>
      <c r="AD52" s="14">
        <v>0</v>
      </c>
      <c r="AE52" s="14">
        <v>12</v>
      </c>
      <c r="AF52" s="14">
        <v>0</v>
      </c>
      <c r="AG52" s="14">
        <v>8</v>
      </c>
      <c r="AH52" s="14">
        <v>1</v>
      </c>
      <c r="AI52" s="14">
        <v>0</v>
      </c>
      <c r="AJ52" s="14">
        <v>1</v>
      </c>
      <c r="AK52" s="18">
        <v>2</v>
      </c>
      <c r="AL52" s="7">
        <v>14973</v>
      </c>
      <c r="AM52" s="17">
        <v>4.8602274792905555E-2</v>
      </c>
      <c r="AN52" s="4">
        <v>1</v>
      </c>
      <c r="AO52" s="7">
        <v>322867</v>
      </c>
      <c r="AP52" s="8">
        <v>0</v>
      </c>
      <c r="AQ52" s="7">
        <v>0</v>
      </c>
      <c r="AR52" s="12">
        <v>0</v>
      </c>
      <c r="AS52" s="4">
        <v>1</v>
      </c>
      <c r="AT52" s="7">
        <v>328326</v>
      </c>
      <c r="AU52" s="8">
        <v>19</v>
      </c>
      <c r="AV52" s="7">
        <v>128595</v>
      </c>
      <c r="AW52" s="12">
        <v>0.39166864640631566</v>
      </c>
      <c r="AX52" s="7">
        <v>38890</v>
      </c>
      <c r="AY52" s="12">
        <v>0.11844934607676516</v>
      </c>
      <c r="AZ52" s="14">
        <v>8</v>
      </c>
      <c r="BA52" s="14">
        <v>4</v>
      </c>
      <c r="BB52" s="14">
        <v>4</v>
      </c>
      <c r="BC52" s="14">
        <v>0</v>
      </c>
      <c r="BD52" s="14">
        <v>1</v>
      </c>
      <c r="BE52" s="14">
        <v>1</v>
      </c>
      <c r="BF52" s="14">
        <v>1</v>
      </c>
      <c r="BG52" s="18">
        <v>1</v>
      </c>
      <c r="BH52" s="7">
        <v>10065</v>
      </c>
      <c r="BI52" s="17">
        <v>3.0655507026552876E-2</v>
      </c>
      <c r="BJ52" s="1">
        <v>1</v>
      </c>
      <c r="BK52" s="7">
        <v>328326</v>
      </c>
      <c r="BL52" s="8">
        <v>1</v>
      </c>
      <c r="BM52" s="7">
        <v>3910</v>
      </c>
      <c r="BN52" s="12">
        <v>1.1908895427105987E-2</v>
      </c>
      <c r="BO52" s="7">
        <v>1795</v>
      </c>
      <c r="BP52" s="12">
        <v>5.4999999999999997E-3</v>
      </c>
      <c r="BQ52" s="1"/>
      <c r="BR52" s="1"/>
      <c r="BS52" s="1"/>
      <c r="BT52" s="1"/>
      <c r="BU52" s="1"/>
      <c r="BV52" s="1"/>
      <c r="BW52" s="1"/>
      <c r="BX52" s="1"/>
      <c r="BY52" s="1"/>
      <c r="BZ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</row>
    <row r="53" spans="1:110">
      <c r="A53" s="10" t="s">
        <v>335</v>
      </c>
      <c r="B53" s="8" t="s">
        <v>137</v>
      </c>
      <c r="C53" s="8" t="s">
        <v>338</v>
      </c>
      <c r="D53" s="8" t="s">
        <v>115</v>
      </c>
      <c r="E53" s="8">
        <v>1</v>
      </c>
      <c r="F53" s="10" t="s">
        <v>258</v>
      </c>
      <c r="G53" s="8" t="s">
        <v>115</v>
      </c>
      <c r="H53" s="4">
        <v>1</v>
      </c>
      <c r="I53" s="7">
        <v>246953</v>
      </c>
      <c r="J53" s="8">
        <v>2</v>
      </c>
      <c r="K53" s="7">
        <v>7820</v>
      </c>
      <c r="L53" s="12">
        <v>3.1699999999999999E-2</v>
      </c>
      <c r="M53" s="18">
        <v>0</v>
      </c>
      <c r="N53" s="18">
        <v>1</v>
      </c>
      <c r="O53" s="18">
        <v>1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7">
        <v>0</v>
      </c>
      <c r="V53" s="17">
        <v>0</v>
      </c>
      <c r="W53" s="4">
        <v>1</v>
      </c>
      <c r="X53" s="7">
        <v>236379</v>
      </c>
      <c r="Y53" s="8">
        <v>3</v>
      </c>
      <c r="Z53" s="7">
        <v>13065</v>
      </c>
      <c r="AA53" s="12">
        <v>5.5271407358521693E-2</v>
      </c>
      <c r="AB53" s="7">
        <v>27922</v>
      </c>
      <c r="AC53" s="12">
        <v>0.11812386041061178</v>
      </c>
      <c r="AD53" s="14">
        <v>0</v>
      </c>
      <c r="AE53" s="14">
        <v>0</v>
      </c>
      <c r="AF53" s="14">
        <v>3</v>
      </c>
      <c r="AG53" s="14">
        <v>0</v>
      </c>
      <c r="AH53" s="14">
        <v>0</v>
      </c>
      <c r="AI53" s="14">
        <v>0</v>
      </c>
      <c r="AJ53" s="14">
        <v>0</v>
      </c>
      <c r="AK53" s="18">
        <v>0</v>
      </c>
      <c r="AL53" s="7">
        <v>0</v>
      </c>
      <c r="AM53" s="17">
        <v>0</v>
      </c>
      <c r="AN53" s="4">
        <v>1</v>
      </c>
      <c r="AO53" s="7">
        <v>243320</v>
      </c>
      <c r="AP53" s="8">
        <v>0</v>
      </c>
      <c r="AQ53" s="7">
        <v>0</v>
      </c>
      <c r="AR53" s="12">
        <v>0</v>
      </c>
      <c r="AS53" s="4">
        <v>1</v>
      </c>
      <c r="AT53" s="7">
        <v>245053</v>
      </c>
      <c r="AU53" s="8">
        <v>7</v>
      </c>
      <c r="AV53" s="7">
        <v>62850</v>
      </c>
      <c r="AW53" s="12">
        <v>0.25647512986986487</v>
      </c>
      <c r="AX53" s="7">
        <v>30855</v>
      </c>
      <c r="AY53" s="12">
        <v>0.12591153750413175</v>
      </c>
      <c r="AZ53" s="14">
        <v>0</v>
      </c>
      <c r="BA53" s="14">
        <v>0</v>
      </c>
      <c r="BB53" s="14">
        <v>7</v>
      </c>
      <c r="BC53" s="14">
        <v>0</v>
      </c>
      <c r="BD53" s="14">
        <v>0</v>
      </c>
      <c r="BE53" s="14">
        <v>0</v>
      </c>
      <c r="BF53" s="14">
        <v>0</v>
      </c>
      <c r="BG53" s="18">
        <v>0</v>
      </c>
      <c r="BH53" s="7">
        <v>0</v>
      </c>
      <c r="BI53" s="17">
        <v>0</v>
      </c>
      <c r="BJ53" s="1">
        <v>1</v>
      </c>
      <c r="BK53" s="7">
        <v>245053</v>
      </c>
      <c r="BL53" s="8">
        <v>1</v>
      </c>
      <c r="BM53" s="7">
        <v>3535</v>
      </c>
      <c r="BN53" s="12">
        <v>1.4425450820842838E-2</v>
      </c>
      <c r="BO53" s="7">
        <v>9870</v>
      </c>
      <c r="BP53" s="12">
        <v>4.0300000000000002E-2</v>
      </c>
      <c r="BQ53" s="1"/>
      <c r="BR53" s="1"/>
      <c r="BS53" s="1"/>
      <c r="BT53" s="1"/>
      <c r="BU53" s="1"/>
      <c r="BV53" s="1"/>
      <c r="BW53" s="1"/>
      <c r="BX53" s="1"/>
      <c r="BY53" s="1"/>
      <c r="BZ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</row>
    <row r="54" spans="1:110">
      <c r="A54" s="10" t="s">
        <v>335</v>
      </c>
      <c r="B54" s="8" t="s">
        <v>137</v>
      </c>
      <c r="C54" s="8" t="s">
        <v>338</v>
      </c>
      <c r="D54" s="8" t="s">
        <v>115</v>
      </c>
      <c r="F54" s="10" t="s">
        <v>261</v>
      </c>
      <c r="G54" s="8" t="s">
        <v>116</v>
      </c>
      <c r="H54" s="4">
        <v>1</v>
      </c>
      <c r="I54" s="7">
        <v>83045</v>
      </c>
      <c r="J54" s="8">
        <v>4</v>
      </c>
      <c r="K54" s="7">
        <v>27619</v>
      </c>
      <c r="L54" s="12">
        <v>0.33260000000000001</v>
      </c>
      <c r="M54" s="18">
        <v>0</v>
      </c>
      <c r="N54" s="18">
        <v>3</v>
      </c>
      <c r="O54" s="18">
        <v>1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7">
        <v>0</v>
      </c>
      <c r="V54" s="17">
        <v>0</v>
      </c>
      <c r="W54" s="4">
        <v>1</v>
      </c>
      <c r="X54" s="7">
        <v>77950</v>
      </c>
      <c r="Y54" s="8">
        <v>5</v>
      </c>
      <c r="Z54" s="7">
        <v>23827</v>
      </c>
      <c r="AA54" s="12">
        <v>0.30567030147530466</v>
      </c>
      <c r="AB54" s="7">
        <v>8649</v>
      </c>
      <c r="AC54" s="12">
        <v>0.11095574085952534</v>
      </c>
      <c r="AD54" s="14">
        <v>0</v>
      </c>
      <c r="AE54" s="14">
        <v>2</v>
      </c>
      <c r="AF54" s="14">
        <v>3</v>
      </c>
      <c r="AG54" s="14">
        <v>0</v>
      </c>
      <c r="AH54" s="14">
        <v>0</v>
      </c>
      <c r="AI54" s="14">
        <v>0</v>
      </c>
      <c r="AJ54" s="14">
        <v>0</v>
      </c>
      <c r="AK54" s="18">
        <v>0</v>
      </c>
      <c r="AL54" s="7">
        <v>0</v>
      </c>
      <c r="AM54" s="17">
        <v>0</v>
      </c>
      <c r="AN54" s="4">
        <v>1</v>
      </c>
      <c r="AO54" s="7">
        <v>76399</v>
      </c>
      <c r="AP54" s="8">
        <v>0</v>
      </c>
      <c r="AQ54" s="7">
        <v>0</v>
      </c>
      <c r="AR54" s="12">
        <v>0</v>
      </c>
      <c r="AS54" s="4">
        <v>1</v>
      </c>
      <c r="AT54" s="7">
        <v>71690</v>
      </c>
      <c r="AU54" s="8">
        <v>3</v>
      </c>
      <c r="AV54" s="7">
        <v>23920</v>
      </c>
      <c r="AW54" s="12">
        <v>0.33365880875993864</v>
      </c>
      <c r="AX54" s="7">
        <v>15750</v>
      </c>
      <c r="AY54" s="12">
        <v>0.21969591295857163</v>
      </c>
      <c r="AZ54" s="14">
        <v>0</v>
      </c>
      <c r="BA54" s="14">
        <v>1</v>
      </c>
      <c r="BB54" s="14">
        <v>2</v>
      </c>
      <c r="BC54" s="14">
        <v>0</v>
      </c>
      <c r="BD54" s="14">
        <v>0</v>
      </c>
      <c r="BE54" s="14">
        <v>0</v>
      </c>
      <c r="BF54" s="14">
        <v>0</v>
      </c>
      <c r="BG54" s="18">
        <v>0</v>
      </c>
      <c r="BH54" s="7">
        <v>0</v>
      </c>
      <c r="BI54" s="17">
        <v>0</v>
      </c>
      <c r="BJ54" s="1">
        <v>1</v>
      </c>
      <c r="BK54" s="7">
        <v>71690</v>
      </c>
      <c r="BL54" s="8">
        <v>0</v>
      </c>
      <c r="BM54" s="7">
        <v>0</v>
      </c>
      <c r="BN54" s="12">
        <v>0</v>
      </c>
      <c r="BO54" s="7">
        <v>2090</v>
      </c>
      <c r="BP54" s="12">
        <v>2.92E-2</v>
      </c>
      <c r="BQ54" s="1"/>
      <c r="BR54" s="1"/>
      <c r="BS54" s="1"/>
      <c r="BT54" s="1"/>
      <c r="BU54" s="1"/>
      <c r="BV54" s="1"/>
      <c r="BW54" s="1"/>
      <c r="BX54" s="1"/>
      <c r="BY54" s="1"/>
      <c r="BZ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</row>
    <row r="55" spans="1:110">
      <c r="A55" s="10" t="s">
        <v>335</v>
      </c>
      <c r="B55" s="8" t="s">
        <v>137</v>
      </c>
      <c r="C55" s="8" t="s">
        <v>338</v>
      </c>
      <c r="D55" s="8" t="s">
        <v>115</v>
      </c>
      <c r="E55" s="8">
        <v>1</v>
      </c>
      <c r="F55" s="10" t="s">
        <v>271</v>
      </c>
      <c r="G55" s="8" t="s">
        <v>117</v>
      </c>
      <c r="H55" s="4">
        <v>1</v>
      </c>
      <c r="I55" s="7">
        <v>87807</v>
      </c>
      <c r="J55" s="8">
        <v>1</v>
      </c>
      <c r="K55" s="7">
        <v>4333</v>
      </c>
      <c r="L55" s="12">
        <v>4.9299999999999997E-2</v>
      </c>
      <c r="M55" s="18">
        <v>0</v>
      </c>
      <c r="N55" s="18">
        <v>0</v>
      </c>
      <c r="O55" s="18">
        <v>1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7">
        <v>0</v>
      </c>
      <c r="V55" s="17">
        <v>0</v>
      </c>
      <c r="W55" s="4">
        <v>1</v>
      </c>
      <c r="X55" s="7">
        <v>90188</v>
      </c>
      <c r="Y55" s="8">
        <v>0</v>
      </c>
      <c r="Z55" s="7">
        <v>0</v>
      </c>
      <c r="AA55" s="12">
        <v>0</v>
      </c>
      <c r="AB55" s="7">
        <v>14108</v>
      </c>
      <c r="AC55" s="12">
        <v>0.15642879318756375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18">
        <v>0</v>
      </c>
      <c r="AL55" s="7">
        <v>0</v>
      </c>
      <c r="AM55" s="17">
        <v>0</v>
      </c>
      <c r="AN55" s="4">
        <v>1</v>
      </c>
      <c r="AO55" s="7">
        <v>93458</v>
      </c>
      <c r="AP55" s="8">
        <v>0</v>
      </c>
      <c r="AQ55" s="7">
        <v>0</v>
      </c>
      <c r="AR55" s="12">
        <v>0</v>
      </c>
      <c r="AS55" s="4">
        <v>1</v>
      </c>
      <c r="AT55" s="7">
        <v>95397</v>
      </c>
      <c r="AU55" s="8">
        <v>2</v>
      </c>
      <c r="AV55" s="7">
        <v>8240</v>
      </c>
      <c r="AW55" s="12">
        <v>8.6375881841148042E-2</v>
      </c>
      <c r="AX55" s="7">
        <v>18780</v>
      </c>
      <c r="AY55" s="12">
        <v>0.19686153652630586</v>
      </c>
      <c r="AZ55" s="8">
        <v>0</v>
      </c>
      <c r="BA55" s="8">
        <v>0</v>
      </c>
      <c r="BB55" s="8">
        <v>2</v>
      </c>
      <c r="BC55" s="8">
        <v>0</v>
      </c>
      <c r="BD55" s="8">
        <v>0</v>
      </c>
      <c r="BE55" s="8">
        <v>0</v>
      </c>
      <c r="BF55" s="8">
        <v>0</v>
      </c>
      <c r="BG55" s="18">
        <v>0</v>
      </c>
      <c r="BH55" s="7">
        <v>0</v>
      </c>
      <c r="BI55" s="17">
        <v>0</v>
      </c>
      <c r="BJ55" s="1">
        <v>1</v>
      </c>
      <c r="BK55" s="7">
        <v>95397</v>
      </c>
      <c r="BL55" s="8">
        <v>1</v>
      </c>
      <c r="BM55" s="7">
        <v>6180</v>
      </c>
      <c r="BN55" s="12">
        <v>6.4781911380861035E-2</v>
      </c>
      <c r="BO55" s="7">
        <v>0</v>
      </c>
      <c r="BP55" s="12">
        <v>0</v>
      </c>
      <c r="BQ55" s="1"/>
      <c r="BR55" s="1"/>
      <c r="BS55" s="1"/>
      <c r="BT55" s="1"/>
      <c r="BU55" s="1"/>
      <c r="BV55" s="1"/>
      <c r="BW55" s="1"/>
      <c r="BX55" s="1"/>
      <c r="BY55" s="1"/>
      <c r="BZ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</row>
    <row r="56" spans="1:110">
      <c r="A56" s="10" t="s">
        <v>331</v>
      </c>
      <c r="B56" s="8" t="s">
        <v>70</v>
      </c>
      <c r="C56" s="8" t="s">
        <v>339</v>
      </c>
      <c r="D56" s="8" t="s">
        <v>54</v>
      </c>
      <c r="E56" s="8">
        <v>1</v>
      </c>
      <c r="F56" s="10" t="s">
        <v>213</v>
      </c>
      <c r="G56" s="8" t="s">
        <v>54</v>
      </c>
      <c r="H56" s="4">
        <v>1</v>
      </c>
      <c r="I56" s="7">
        <v>42817</v>
      </c>
      <c r="J56" s="8">
        <v>2</v>
      </c>
      <c r="K56" s="7">
        <v>8122</v>
      </c>
      <c r="L56" s="12">
        <v>0.18970000000000001</v>
      </c>
      <c r="M56" s="18">
        <v>0</v>
      </c>
      <c r="N56" s="18">
        <v>0</v>
      </c>
      <c r="O56" s="18">
        <v>1</v>
      </c>
      <c r="P56" s="18">
        <v>0</v>
      </c>
      <c r="Q56" s="18">
        <v>0</v>
      </c>
      <c r="R56" s="18">
        <v>1</v>
      </c>
      <c r="S56" s="18">
        <v>0</v>
      </c>
      <c r="T56" s="18">
        <v>0</v>
      </c>
      <c r="U56" s="7">
        <v>0</v>
      </c>
      <c r="V56" s="17">
        <v>0</v>
      </c>
      <c r="W56" s="4">
        <v>1</v>
      </c>
      <c r="X56" s="7">
        <v>46341</v>
      </c>
      <c r="Y56" s="8">
        <v>1</v>
      </c>
      <c r="Z56" s="7">
        <v>4953</v>
      </c>
      <c r="AA56" s="12">
        <v>0.10688159513174079</v>
      </c>
      <c r="AB56" s="7">
        <v>4533</v>
      </c>
      <c r="AC56" s="12">
        <v>9.7818346604518672E-2</v>
      </c>
      <c r="AD56" s="14">
        <v>1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8">
        <v>0</v>
      </c>
      <c r="AL56" s="7">
        <v>0</v>
      </c>
      <c r="AM56" s="17">
        <v>0</v>
      </c>
      <c r="AN56" s="4">
        <v>1</v>
      </c>
      <c r="AO56" s="7">
        <v>51205</v>
      </c>
      <c r="AP56" s="8">
        <v>0</v>
      </c>
      <c r="AQ56" s="7">
        <v>0</v>
      </c>
      <c r="AR56" s="12">
        <v>0</v>
      </c>
      <c r="AS56" s="4">
        <v>1</v>
      </c>
      <c r="AT56" s="7">
        <v>56472</v>
      </c>
      <c r="AU56" s="8">
        <v>2</v>
      </c>
      <c r="AV56" s="7">
        <v>10400</v>
      </c>
      <c r="AW56" s="12">
        <v>0.18416206261510129</v>
      </c>
      <c r="AX56" s="7">
        <v>3040</v>
      </c>
      <c r="AY56" s="12">
        <v>5.3831987533644994E-2</v>
      </c>
      <c r="AZ56" s="14">
        <v>0</v>
      </c>
      <c r="BA56" s="14">
        <v>0</v>
      </c>
      <c r="BB56" s="14">
        <v>2</v>
      </c>
      <c r="BC56" s="14">
        <v>0</v>
      </c>
      <c r="BD56" s="14">
        <v>0</v>
      </c>
      <c r="BE56" s="14">
        <v>0</v>
      </c>
      <c r="BF56" s="14">
        <v>0</v>
      </c>
      <c r="BG56" s="18">
        <v>0</v>
      </c>
      <c r="BH56" s="7">
        <v>0</v>
      </c>
      <c r="BI56" s="17">
        <v>0</v>
      </c>
      <c r="BJ56" s="1">
        <v>1</v>
      </c>
      <c r="BK56" s="7">
        <v>56472</v>
      </c>
      <c r="BL56" s="8">
        <v>2</v>
      </c>
      <c r="BM56" s="7">
        <v>14950</v>
      </c>
      <c r="BN56" s="12">
        <v>0.26473296500920812</v>
      </c>
      <c r="BO56" s="7">
        <v>0</v>
      </c>
      <c r="BP56" s="12">
        <v>0</v>
      </c>
      <c r="BQ56" s="1"/>
      <c r="BR56" s="1"/>
      <c r="BS56" s="1"/>
      <c r="BT56" s="1"/>
      <c r="BU56" s="1"/>
      <c r="BV56" s="1"/>
      <c r="BW56" s="1"/>
      <c r="BX56" s="1"/>
      <c r="BY56" s="1"/>
      <c r="BZ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</row>
    <row r="57" spans="1:110">
      <c r="A57" s="10" t="s">
        <v>332</v>
      </c>
      <c r="B57" s="8" t="s">
        <v>104</v>
      </c>
      <c r="C57" s="8" t="s">
        <v>340</v>
      </c>
      <c r="D57" s="8" t="s">
        <v>93</v>
      </c>
      <c r="E57" s="8">
        <v>1</v>
      </c>
      <c r="F57" s="10" t="s">
        <v>225</v>
      </c>
      <c r="G57" s="8" t="s">
        <v>93</v>
      </c>
      <c r="H57" s="4">
        <v>1</v>
      </c>
      <c r="I57" s="7">
        <v>68656</v>
      </c>
      <c r="J57" s="8">
        <v>0</v>
      </c>
      <c r="K57" s="7">
        <v>0</v>
      </c>
      <c r="L57" s="12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18">
        <f>SUM(Tabla2[[#This Row],[EST_BBVV91]:[ESTyPARyVIV_BBVV91]])</f>
        <v>0</v>
      </c>
      <c r="U57" s="7">
        <v>0</v>
      </c>
      <c r="V57" s="17">
        <v>0</v>
      </c>
      <c r="W57" s="4">
        <v>1</v>
      </c>
      <c r="X57" s="7">
        <v>74879</v>
      </c>
      <c r="Y57" s="8">
        <v>0</v>
      </c>
      <c r="Z57" s="7">
        <v>0</v>
      </c>
      <c r="AA57" s="12">
        <v>0</v>
      </c>
      <c r="AB57" s="7">
        <v>14792</v>
      </c>
      <c r="AC57" s="12">
        <v>0.19754537320209939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18">
        <v>0</v>
      </c>
      <c r="AL57" s="7">
        <v>0</v>
      </c>
      <c r="AM57" s="17">
        <v>0</v>
      </c>
      <c r="AN57" s="4">
        <v>1</v>
      </c>
      <c r="AO57" s="7">
        <v>89890</v>
      </c>
      <c r="AP57" s="8">
        <v>3</v>
      </c>
      <c r="AQ57" s="7">
        <v>16527</v>
      </c>
      <c r="AR57" s="12">
        <v>0.18390000000000001</v>
      </c>
      <c r="AS57" s="4">
        <v>1</v>
      </c>
      <c r="AT57" s="7">
        <v>96113</v>
      </c>
      <c r="AU57" s="8">
        <v>1</v>
      </c>
      <c r="AV57" s="7">
        <v>3635</v>
      </c>
      <c r="AW57" s="12">
        <v>3.7820065964021515E-2</v>
      </c>
      <c r="AX57" s="7">
        <v>9855</v>
      </c>
      <c r="AY57" s="12">
        <v>0.10253555710465806</v>
      </c>
      <c r="AZ57" s="8">
        <v>1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18">
        <v>0</v>
      </c>
      <c r="BH57" s="7">
        <v>0</v>
      </c>
      <c r="BI57" s="17">
        <v>0</v>
      </c>
      <c r="BJ57" s="1">
        <v>1</v>
      </c>
      <c r="BK57" s="7">
        <v>96113</v>
      </c>
      <c r="BL57" s="8">
        <v>4</v>
      </c>
      <c r="BM57" s="7">
        <v>27220</v>
      </c>
      <c r="BN57" s="12">
        <v>0.28320830688876636</v>
      </c>
      <c r="BO57" s="7">
        <v>9465</v>
      </c>
      <c r="BP57" s="12">
        <v>9.8500000000000004E-2</v>
      </c>
      <c r="BQ57" s="1"/>
      <c r="BR57" s="1"/>
      <c r="BS57" s="1"/>
      <c r="BT57" s="1"/>
      <c r="BU57" s="1"/>
      <c r="BV57" s="1"/>
      <c r="BW57" s="1"/>
      <c r="BX57" s="1"/>
      <c r="BY57" s="1"/>
      <c r="BZ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</row>
    <row r="58" spans="1:110">
      <c r="A58" s="10" t="s">
        <v>324</v>
      </c>
      <c r="B58" s="8" t="s">
        <v>30</v>
      </c>
      <c r="C58" s="8" t="s">
        <v>341</v>
      </c>
      <c r="D58" s="8" t="s">
        <v>13</v>
      </c>
      <c r="E58" s="8">
        <v>1</v>
      </c>
      <c r="F58" s="10" t="s">
        <v>175</v>
      </c>
      <c r="G58" s="8" t="s">
        <v>13</v>
      </c>
      <c r="H58" s="4">
        <v>1</v>
      </c>
      <c r="I58" s="7">
        <v>255212</v>
      </c>
      <c r="J58" s="8">
        <v>8</v>
      </c>
      <c r="K58" s="7">
        <v>68318</v>
      </c>
      <c r="L58" s="12">
        <v>0.26769999999999999</v>
      </c>
      <c r="M58" s="18">
        <v>0</v>
      </c>
      <c r="N58" s="18">
        <v>4</v>
      </c>
      <c r="O58" s="18">
        <v>0</v>
      </c>
      <c r="P58" s="18">
        <v>3</v>
      </c>
      <c r="Q58" s="18">
        <v>0</v>
      </c>
      <c r="R58" s="18">
        <v>0</v>
      </c>
      <c r="S58" s="18">
        <v>1</v>
      </c>
      <c r="T58" s="18">
        <v>1</v>
      </c>
      <c r="U58" s="7">
        <v>7341</v>
      </c>
      <c r="V58" s="17">
        <v>2.8764321426892153E-2</v>
      </c>
      <c r="W58" s="4">
        <v>1</v>
      </c>
      <c r="X58" s="7">
        <v>240661</v>
      </c>
      <c r="Y58" s="8">
        <v>10</v>
      </c>
      <c r="Z58" s="7">
        <v>88025</v>
      </c>
      <c r="AA58" s="12">
        <v>0.36576345980445524</v>
      </c>
      <c r="AB58" s="7">
        <v>20586</v>
      </c>
      <c r="AC58" s="12">
        <v>8.5539410207719574E-2</v>
      </c>
      <c r="AD58" s="14">
        <v>0</v>
      </c>
      <c r="AE58" s="14">
        <v>6</v>
      </c>
      <c r="AF58" s="14">
        <v>0</v>
      </c>
      <c r="AG58" s="14">
        <v>2</v>
      </c>
      <c r="AH58" s="14">
        <v>1</v>
      </c>
      <c r="AI58" s="14">
        <v>0</v>
      </c>
      <c r="AJ58" s="14">
        <v>1</v>
      </c>
      <c r="AK58" s="18">
        <v>1</v>
      </c>
      <c r="AL58" s="7">
        <v>6080</v>
      </c>
      <c r="AM58" s="17">
        <v>2.5263752747640873E-2</v>
      </c>
      <c r="AN58" s="4">
        <v>1</v>
      </c>
      <c r="AO58" s="7">
        <v>237929</v>
      </c>
      <c r="AP58" s="8">
        <v>0</v>
      </c>
      <c r="AQ58" s="7">
        <v>0</v>
      </c>
      <c r="AR58" s="12">
        <v>0</v>
      </c>
      <c r="AS58" s="4">
        <v>1</v>
      </c>
      <c r="AT58" s="7">
        <v>241003</v>
      </c>
      <c r="AU58" s="8">
        <v>9</v>
      </c>
      <c r="AV58" s="7">
        <v>61280</v>
      </c>
      <c r="AW58" s="12">
        <v>0.25427069372580424</v>
      </c>
      <c r="AX58" s="7">
        <v>29460</v>
      </c>
      <c r="AY58" s="12">
        <v>0.12223914225134128</v>
      </c>
      <c r="AZ58" s="14">
        <v>2</v>
      </c>
      <c r="BA58" s="14">
        <v>4</v>
      </c>
      <c r="BB58" s="14">
        <v>2</v>
      </c>
      <c r="BC58" s="14">
        <v>0</v>
      </c>
      <c r="BD58" s="14">
        <v>0</v>
      </c>
      <c r="BE58" s="14">
        <v>1</v>
      </c>
      <c r="BF58" s="14">
        <v>0</v>
      </c>
      <c r="BG58" s="18">
        <v>1</v>
      </c>
      <c r="BH58" s="7">
        <v>1565</v>
      </c>
      <c r="BI58" s="17">
        <v>6.4936950992311301E-3</v>
      </c>
      <c r="BJ58" s="1">
        <v>1</v>
      </c>
      <c r="BK58" s="7">
        <v>241003</v>
      </c>
      <c r="BL58" s="8">
        <v>4</v>
      </c>
      <c r="BM58" s="7">
        <v>19630</v>
      </c>
      <c r="BN58" s="12">
        <v>8.1451268241474167E-2</v>
      </c>
      <c r="BO58" s="7">
        <v>3830</v>
      </c>
      <c r="BP58" s="12">
        <v>1.5900000000000001E-2</v>
      </c>
      <c r="BQ58" s="1"/>
      <c r="BR58" s="1"/>
      <c r="BS58" s="1"/>
      <c r="BT58" s="1"/>
      <c r="BU58" s="1"/>
      <c r="BV58" s="1"/>
      <c r="BW58" s="1"/>
      <c r="BX58" s="1"/>
      <c r="BY58" s="1"/>
      <c r="BZ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</row>
    <row r="59" spans="1:110">
      <c r="A59" s="10" t="s">
        <v>324</v>
      </c>
      <c r="B59" s="8" t="s">
        <v>30</v>
      </c>
      <c r="C59" s="1" t="s">
        <v>341</v>
      </c>
      <c r="D59" s="8" t="s">
        <v>13</v>
      </c>
      <c r="F59" s="2" t="s">
        <v>184</v>
      </c>
      <c r="G59" s="1" t="s">
        <v>14</v>
      </c>
      <c r="H59" s="4"/>
      <c r="I59" s="3"/>
      <c r="J59" s="1"/>
      <c r="K59" s="3"/>
      <c r="L59" s="13"/>
      <c r="M59" s="18"/>
      <c r="N59" s="18"/>
      <c r="O59" s="18"/>
      <c r="P59" s="18"/>
      <c r="Q59" s="18"/>
      <c r="R59" s="18"/>
      <c r="S59" s="18"/>
      <c r="T59" s="18"/>
      <c r="U59" s="3"/>
      <c r="V59" s="17"/>
      <c r="W59" s="4">
        <v>1</v>
      </c>
      <c r="X59" s="3">
        <v>51298</v>
      </c>
      <c r="Y59" s="1">
        <v>3</v>
      </c>
      <c r="Z59" s="3">
        <v>18295</v>
      </c>
      <c r="AA59" s="13">
        <v>0.35664158446723071</v>
      </c>
      <c r="AB59" s="3">
        <v>1658</v>
      </c>
      <c r="AC59" s="12">
        <v>3.2320948185114433E-2</v>
      </c>
      <c r="AD59" s="14">
        <v>2</v>
      </c>
      <c r="AE59" s="14">
        <v>0</v>
      </c>
      <c r="AF59" s="14">
        <v>0</v>
      </c>
      <c r="AG59" s="14">
        <v>0</v>
      </c>
      <c r="AH59" s="14">
        <v>0</v>
      </c>
      <c r="AI59" s="14">
        <v>1</v>
      </c>
      <c r="AJ59" s="14">
        <v>0</v>
      </c>
      <c r="AK59" s="18">
        <v>0</v>
      </c>
      <c r="AL59" s="3">
        <v>0</v>
      </c>
      <c r="AM59" s="17">
        <v>0</v>
      </c>
      <c r="AN59" s="4">
        <v>1</v>
      </c>
      <c r="AO59" s="3">
        <v>57895</v>
      </c>
      <c r="AP59" s="1">
        <v>0</v>
      </c>
      <c r="AQ59" s="3">
        <v>0</v>
      </c>
      <c r="AR59" s="13">
        <v>0</v>
      </c>
      <c r="AS59" s="4">
        <v>1</v>
      </c>
      <c r="AT59" s="3">
        <v>60460</v>
      </c>
      <c r="AU59" s="1">
        <v>3</v>
      </c>
      <c r="AV59" s="3">
        <v>27605</v>
      </c>
      <c r="AW59" s="13">
        <v>0.4565828647039365</v>
      </c>
      <c r="AX59" s="3">
        <v>11710</v>
      </c>
      <c r="AY59" s="12">
        <v>0.19368177307310619</v>
      </c>
      <c r="AZ59" s="14">
        <v>0</v>
      </c>
      <c r="BA59" s="14">
        <v>1</v>
      </c>
      <c r="BB59" s="14">
        <v>0</v>
      </c>
      <c r="BC59" s="14">
        <v>2</v>
      </c>
      <c r="BD59" s="14">
        <v>0</v>
      </c>
      <c r="BE59" s="14">
        <v>0</v>
      </c>
      <c r="BF59" s="14">
        <v>0</v>
      </c>
      <c r="BG59" s="18">
        <v>0</v>
      </c>
      <c r="BH59" s="3">
        <v>0</v>
      </c>
      <c r="BI59" s="17">
        <v>0</v>
      </c>
      <c r="BJ59" s="1">
        <v>1</v>
      </c>
      <c r="BK59" s="3">
        <v>60460</v>
      </c>
      <c r="BL59" s="1">
        <v>1</v>
      </c>
      <c r="BM59" s="3">
        <v>5025</v>
      </c>
      <c r="BN59" s="13">
        <v>8.3112801852464432E-2</v>
      </c>
      <c r="BO59" s="3">
        <v>5900</v>
      </c>
      <c r="BP59" s="12">
        <v>9.7600000000000006E-2</v>
      </c>
      <c r="BQ59" s="1"/>
      <c r="BR59" s="1"/>
      <c r="BS59" s="1"/>
      <c r="BT59" s="1"/>
      <c r="BU59" s="1"/>
      <c r="BV59" s="1"/>
      <c r="BW59" s="1"/>
      <c r="BX59" s="1"/>
      <c r="BY59" s="1"/>
      <c r="BZ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</row>
    <row r="60" spans="1:110">
      <c r="A60" s="10" t="s">
        <v>331</v>
      </c>
      <c r="B60" s="8" t="s">
        <v>70</v>
      </c>
      <c r="C60" s="8" t="s">
        <v>342</v>
      </c>
      <c r="D60" s="8" t="s">
        <v>55</v>
      </c>
      <c r="E60" s="8">
        <v>1</v>
      </c>
      <c r="F60" s="10" t="s">
        <v>214</v>
      </c>
      <c r="G60" s="8" t="s">
        <v>55</v>
      </c>
      <c r="H60" s="4">
        <v>1</v>
      </c>
      <c r="I60" s="7">
        <v>62531</v>
      </c>
      <c r="J60" s="8">
        <v>0</v>
      </c>
      <c r="K60" s="8">
        <v>0</v>
      </c>
      <c r="L60" s="12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18">
        <f>SUM(Tabla2[[#This Row],[EST_BBVV91]:[ESTyPARyVIV_BBVV91]])</f>
        <v>0</v>
      </c>
      <c r="U60" s="8">
        <v>0</v>
      </c>
      <c r="V60" s="17">
        <v>0</v>
      </c>
      <c r="W60" s="4">
        <v>1</v>
      </c>
      <c r="X60" s="7">
        <v>68248</v>
      </c>
      <c r="Y60" s="8">
        <v>0</v>
      </c>
      <c r="Z60" s="8">
        <v>0</v>
      </c>
      <c r="AA60" s="12">
        <v>0</v>
      </c>
      <c r="AB60" s="8">
        <v>1854</v>
      </c>
      <c r="AC60" s="12">
        <v>2.7165631227288711E-2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18">
        <v>0</v>
      </c>
      <c r="AL60" s="8">
        <v>0</v>
      </c>
      <c r="AM60" s="17">
        <v>0</v>
      </c>
      <c r="AN60" s="4">
        <v>1</v>
      </c>
      <c r="AO60" s="7">
        <v>75493</v>
      </c>
      <c r="AP60" s="8">
        <v>0</v>
      </c>
      <c r="AQ60" s="8">
        <v>0</v>
      </c>
      <c r="AR60" s="12">
        <v>0</v>
      </c>
      <c r="AS60" s="4">
        <v>1</v>
      </c>
      <c r="AT60" s="7">
        <v>84404</v>
      </c>
      <c r="AU60" s="8">
        <v>0</v>
      </c>
      <c r="AV60" s="8">
        <v>0</v>
      </c>
      <c r="AW60" s="12">
        <v>0</v>
      </c>
      <c r="AX60" s="8">
        <v>15480</v>
      </c>
      <c r="AY60" s="12">
        <v>0.18340363015970806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18">
        <v>0</v>
      </c>
      <c r="BH60" s="8">
        <v>0</v>
      </c>
      <c r="BI60" s="17">
        <v>0</v>
      </c>
      <c r="BJ60" s="1">
        <v>1</v>
      </c>
      <c r="BK60" s="7">
        <v>84404</v>
      </c>
      <c r="BL60" s="8">
        <v>4</v>
      </c>
      <c r="BM60" s="8">
        <v>26225</v>
      </c>
      <c r="BN60" s="12">
        <v>0.31070802331643049</v>
      </c>
      <c r="BO60" s="8">
        <v>7190</v>
      </c>
      <c r="BP60" s="12">
        <v>8.5199999999999998E-2</v>
      </c>
      <c r="BQ60" s="1"/>
      <c r="BR60" s="1"/>
      <c r="BS60" s="1"/>
      <c r="BT60" s="1"/>
      <c r="BU60" s="1"/>
      <c r="BV60" s="1"/>
      <c r="BW60" s="1"/>
      <c r="BX60" s="1"/>
      <c r="BY60" s="1"/>
      <c r="BZ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</row>
    <row r="61" spans="1:110">
      <c r="A61" s="10" t="s">
        <v>339</v>
      </c>
      <c r="B61" s="8" t="s">
        <v>161</v>
      </c>
      <c r="C61" s="8" t="s">
        <v>343</v>
      </c>
      <c r="D61" t="s">
        <v>382</v>
      </c>
      <c r="F61" s="10" t="s">
        <v>307</v>
      </c>
      <c r="G61" s="8" t="s">
        <v>525</v>
      </c>
      <c r="H61" s="4">
        <v>1</v>
      </c>
      <c r="I61" s="7">
        <v>53276</v>
      </c>
      <c r="J61" s="8">
        <v>0</v>
      </c>
      <c r="K61" s="8">
        <v>0</v>
      </c>
      <c r="L61" s="12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18">
        <f>SUM(Tabla2[[#This Row],[EST_BBVV91]:[ESTyPARyVIV_BBVV91]])</f>
        <v>0</v>
      </c>
      <c r="U61" s="8">
        <v>0</v>
      </c>
      <c r="V61" s="17">
        <v>0</v>
      </c>
      <c r="W61" s="4">
        <v>1</v>
      </c>
      <c r="X61" s="7">
        <v>56601</v>
      </c>
      <c r="Y61" s="8">
        <v>0</v>
      </c>
      <c r="Z61" s="8">
        <v>0</v>
      </c>
      <c r="AA61" s="12">
        <v>0</v>
      </c>
      <c r="AB61" s="8">
        <v>3462</v>
      </c>
      <c r="AC61" s="12">
        <v>6.1164997084857155E-2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18">
        <v>0</v>
      </c>
      <c r="AL61" s="8">
        <v>0</v>
      </c>
      <c r="AM61" s="17">
        <v>0</v>
      </c>
      <c r="AN61" s="4">
        <v>1</v>
      </c>
      <c r="AO61" s="7">
        <v>60261</v>
      </c>
      <c r="AP61" s="8">
        <v>0</v>
      </c>
      <c r="AQ61" s="8">
        <v>0</v>
      </c>
      <c r="AR61" s="12">
        <v>0</v>
      </c>
      <c r="AS61" s="4">
        <v>1</v>
      </c>
      <c r="AT61" s="7">
        <v>60747</v>
      </c>
      <c r="AU61" s="8">
        <v>0</v>
      </c>
      <c r="AV61" s="8">
        <v>0</v>
      </c>
      <c r="AW61" s="12">
        <v>0</v>
      </c>
      <c r="AX61" s="8">
        <v>4335</v>
      </c>
      <c r="AY61" s="12">
        <v>7.1361548718455237E-2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18">
        <v>0</v>
      </c>
      <c r="BH61" s="8">
        <v>0</v>
      </c>
      <c r="BI61" s="17">
        <v>0</v>
      </c>
      <c r="BJ61" s="1">
        <v>1</v>
      </c>
      <c r="BK61" s="7">
        <v>60747</v>
      </c>
      <c r="BL61" s="8">
        <v>0</v>
      </c>
      <c r="BM61" s="8">
        <v>0</v>
      </c>
      <c r="BN61" s="12">
        <v>0</v>
      </c>
      <c r="BO61" s="8">
        <v>1150</v>
      </c>
      <c r="BP61" s="12">
        <v>1.89E-2</v>
      </c>
      <c r="BQ61" s="1"/>
      <c r="BR61" s="1"/>
      <c r="BS61" s="1"/>
      <c r="BT61" s="1"/>
      <c r="BU61" s="1"/>
      <c r="BV61" s="1"/>
      <c r="BW61" s="1"/>
      <c r="BX61" s="1"/>
      <c r="BY61" s="1"/>
      <c r="BZ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</row>
    <row r="62" spans="1:110">
      <c r="A62" s="10" t="s">
        <v>339</v>
      </c>
      <c r="B62" s="8" t="s">
        <v>161</v>
      </c>
      <c r="C62" s="8" t="s">
        <v>343</v>
      </c>
      <c r="D62" t="s">
        <v>382</v>
      </c>
      <c r="E62" s="8">
        <v>1</v>
      </c>
      <c r="F62" s="10" t="s">
        <v>305</v>
      </c>
      <c r="G62" s="8" t="s">
        <v>526</v>
      </c>
      <c r="H62" s="4">
        <v>1</v>
      </c>
      <c r="I62" s="7">
        <v>171439</v>
      </c>
      <c r="J62" s="8">
        <v>2</v>
      </c>
      <c r="K62" s="7">
        <v>16109</v>
      </c>
      <c r="L62" s="12">
        <v>9.4E-2</v>
      </c>
      <c r="M62" s="18">
        <v>0</v>
      </c>
      <c r="N62" s="18">
        <v>2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7">
        <v>0</v>
      </c>
      <c r="V62" s="17">
        <v>0</v>
      </c>
      <c r="W62" s="4">
        <v>1</v>
      </c>
      <c r="X62" s="7">
        <v>178377</v>
      </c>
      <c r="Y62" s="8">
        <v>0</v>
      </c>
      <c r="Z62" s="7">
        <v>0</v>
      </c>
      <c r="AA62" s="12">
        <v>0</v>
      </c>
      <c r="AB62" s="7">
        <v>20251</v>
      </c>
      <c r="AC62" s="12">
        <v>0.11352921060450619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18">
        <v>0</v>
      </c>
      <c r="AL62" s="7">
        <v>0</v>
      </c>
      <c r="AM62" s="17">
        <v>0</v>
      </c>
      <c r="AN62" s="4">
        <v>1</v>
      </c>
      <c r="AO62" s="7">
        <v>183308</v>
      </c>
      <c r="AP62" s="8">
        <v>0</v>
      </c>
      <c r="AQ62" s="7">
        <v>0</v>
      </c>
      <c r="AR62" s="12">
        <v>0</v>
      </c>
      <c r="AS62" s="4">
        <v>1</v>
      </c>
      <c r="AT62" s="7">
        <v>185512</v>
      </c>
      <c r="AU62" s="8">
        <v>1</v>
      </c>
      <c r="AV62" s="7">
        <v>3500</v>
      </c>
      <c r="AW62" s="12">
        <v>1.8866704040708959E-2</v>
      </c>
      <c r="AX62" s="7">
        <v>6570</v>
      </c>
      <c r="AY62" s="12">
        <v>3.54154987278451E-2</v>
      </c>
      <c r="AZ62" s="8">
        <v>0</v>
      </c>
      <c r="BA62" s="8">
        <v>0</v>
      </c>
      <c r="BB62" s="8">
        <v>1</v>
      </c>
      <c r="BC62" s="8">
        <v>0</v>
      </c>
      <c r="BD62" s="8">
        <v>0</v>
      </c>
      <c r="BE62" s="8">
        <v>0</v>
      </c>
      <c r="BF62" s="8">
        <v>0</v>
      </c>
      <c r="BG62" s="18">
        <v>0</v>
      </c>
      <c r="BH62" s="7">
        <v>0</v>
      </c>
      <c r="BI62" s="17">
        <v>0</v>
      </c>
      <c r="BJ62" s="1">
        <v>1</v>
      </c>
      <c r="BK62" s="7">
        <v>185512</v>
      </c>
      <c r="BL62" s="8">
        <v>0</v>
      </c>
      <c r="BM62" s="7">
        <v>0</v>
      </c>
      <c r="BN62" s="12">
        <v>0</v>
      </c>
      <c r="BO62" s="7">
        <v>4225</v>
      </c>
      <c r="BP62" s="12">
        <v>2.2800000000000001E-2</v>
      </c>
      <c r="BQ62" s="1"/>
      <c r="BR62" s="1"/>
      <c r="BS62" s="1"/>
      <c r="BT62" s="1"/>
      <c r="BU62" s="1"/>
      <c r="BV62" s="1"/>
      <c r="BW62" s="1"/>
      <c r="BX62" s="1"/>
      <c r="BY62" s="1"/>
      <c r="BZ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</row>
    <row r="63" spans="1:110">
      <c r="A63" s="10" t="s">
        <v>324</v>
      </c>
      <c r="B63" s="8" t="s">
        <v>30</v>
      </c>
      <c r="C63" s="8" t="s">
        <v>344</v>
      </c>
      <c r="D63" s="8" t="s">
        <v>15</v>
      </c>
      <c r="E63" s="8">
        <v>1</v>
      </c>
      <c r="F63" s="10" t="s">
        <v>176</v>
      </c>
      <c r="G63" s="8" t="s">
        <v>15</v>
      </c>
      <c r="H63" s="4">
        <v>1</v>
      </c>
      <c r="I63" s="7">
        <v>142547</v>
      </c>
      <c r="J63" s="8">
        <v>6</v>
      </c>
      <c r="K63" s="7">
        <v>34473</v>
      </c>
      <c r="L63" s="12">
        <v>0.24179999999999999</v>
      </c>
      <c r="M63" s="18">
        <v>0</v>
      </c>
      <c r="N63" s="18">
        <v>3</v>
      </c>
      <c r="O63" s="18">
        <v>0</v>
      </c>
      <c r="P63" s="18">
        <v>2</v>
      </c>
      <c r="Q63" s="18">
        <v>0</v>
      </c>
      <c r="R63" s="18">
        <v>0</v>
      </c>
      <c r="S63" s="18">
        <v>1</v>
      </c>
      <c r="T63" s="18">
        <v>0</v>
      </c>
      <c r="U63" s="7">
        <v>0</v>
      </c>
      <c r="V63" s="17">
        <v>0</v>
      </c>
      <c r="W63" s="4">
        <v>1</v>
      </c>
      <c r="X63" s="7">
        <v>142284</v>
      </c>
      <c r="Y63" s="8">
        <v>8</v>
      </c>
      <c r="Z63" s="7">
        <v>63160</v>
      </c>
      <c r="AA63" s="12">
        <v>0.4439009305332996</v>
      </c>
      <c r="AB63" s="7">
        <v>12002</v>
      </c>
      <c r="AC63" s="12">
        <v>8.4352421916729925E-2</v>
      </c>
      <c r="AD63" s="14">
        <v>0</v>
      </c>
      <c r="AE63" s="14">
        <v>2</v>
      </c>
      <c r="AF63" s="14">
        <v>0</v>
      </c>
      <c r="AG63" s="14">
        <v>2</v>
      </c>
      <c r="AH63" s="14">
        <v>3</v>
      </c>
      <c r="AI63" s="14">
        <v>0</v>
      </c>
      <c r="AJ63" s="14">
        <v>1</v>
      </c>
      <c r="AK63" s="18">
        <v>2</v>
      </c>
      <c r="AL63" s="7">
        <v>16514</v>
      </c>
      <c r="AM63" s="17">
        <v>0.11606364735318096</v>
      </c>
      <c r="AN63" s="4">
        <v>1</v>
      </c>
      <c r="AO63" s="7">
        <v>145763</v>
      </c>
      <c r="AP63" s="8">
        <v>0</v>
      </c>
      <c r="AQ63" s="7">
        <v>0</v>
      </c>
      <c r="AR63" s="12">
        <v>0</v>
      </c>
      <c r="AS63" s="4">
        <v>1</v>
      </c>
      <c r="AT63" s="7">
        <v>147808</v>
      </c>
      <c r="AU63" s="8">
        <v>9</v>
      </c>
      <c r="AV63" s="7">
        <v>77080</v>
      </c>
      <c r="AW63" s="12">
        <v>0.52148733492097854</v>
      </c>
      <c r="AX63" s="7">
        <v>9850</v>
      </c>
      <c r="AY63" s="12">
        <v>6.6640506603160857E-2</v>
      </c>
      <c r="AZ63" s="14">
        <v>0</v>
      </c>
      <c r="BA63" s="14">
        <v>4</v>
      </c>
      <c r="BB63" s="14">
        <v>3</v>
      </c>
      <c r="BC63" s="14">
        <v>1</v>
      </c>
      <c r="BD63" s="14">
        <v>0</v>
      </c>
      <c r="BE63" s="14">
        <v>0</v>
      </c>
      <c r="BF63" s="14">
        <v>1</v>
      </c>
      <c r="BG63" s="18">
        <v>1</v>
      </c>
      <c r="BH63" s="7">
        <v>4540</v>
      </c>
      <c r="BI63" s="17">
        <v>3.0715522840441652E-2</v>
      </c>
      <c r="BJ63" s="1">
        <v>1</v>
      </c>
      <c r="BK63" s="7">
        <v>147808</v>
      </c>
      <c r="BL63" s="8">
        <v>1</v>
      </c>
      <c r="BM63" s="7">
        <v>2355</v>
      </c>
      <c r="BN63" s="12">
        <v>1.5932831781770945E-2</v>
      </c>
      <c r="BO63" s="7">
        <v>2870</v>
      </c>
      <c r="BP63" s="12">
        <v>1.9400000000000001E-2</v>
      </c>
      <c r="BQ63" s="1"/>
      <c r="BR63" s="1"/>
      <c r="BS63" s="1"/>
      <c r="BT63" s="1"/>
      <c r="BU63" s="1"/>
      <c r="BV63" s="1"/>
      <c r="BW63" s="1"/>
      <c r="BX63" s="1"/>
      <c r="BY63" s="1"/>
      <c r="BZ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</row>
    <row r="64" spans="1:110">
      <c r="A64" s="11" t="s">
        <v>325</v>
      </c>
      <c r="B64" s="8" t="s">
        <v>34</v>
      </c>
      <c r="C64" s="8" t="s">
        <v>345</v>
      </c>
      <c r="D64" s="8" t="s">
        <v>31</v>
      </c>
      <c r="E64" s="8">
        <v>1</v>
      </c>
      <c r="F64" s="10" t="s">
        <v>193</v>
      </c>
      <c r="G64" s="8" t="s">
        <v>31</v>
      </c>
      <c r="H64" s="4">
        <v>1</v>
      </c>
      <c r="I64" s="7">
        <v>44165</v>
      </c>
      <c r="J64" s="8">
        <v>0</v>
      </c>
      <c r="K64" s="7">
        <v>0</v>
      </c>
      <c r="L64" s="12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18">
        <f>SUM(Tabla2[[#This Row],[EST_BBVV91]:[ESTyPARyVIV_BBVV91]])</f>
        <v>0</v>
      </c>
      <c r="U64" s="7">
        <v>0</v>
      </c>
      <c r="V64" s="17">
        <v>0</v>
      </c>
      <c r="W64" s="4">
        <v>1</v>
      </c>
      <c r="X64" s="7">
        <v>46243</v>
      </c>
      <c r="Y64" s="8">
        <v>0</v>
      </c>
      <c r="Z64" s="7">
        <v>0</v>
      </c>
      <c r="AA64" s="12">
        <v>0</v>
      </c>
      <c r="AB64" s="7">
        <v>4310</v>
      </c>
      <c r="AC64" s="12">
        <v>9.3203295633933786E-2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18">
        <v>0</v>
      </c>
      <c r="AL64" s="7">
        <v>0</v>
      </c>
      <c r="AM64" s="17">
        <v>0</v>
      </c>
      <c r="AN64" s="4">
        <v>1</v>
      </c>
      <c r="AO64" s="7">
        <v>49312</v>
      </c>
      <c r="AP64" s="8">
        <v>0</v>
      </c>
      <c r="AQ64" s="7">
        <v>0</v>
      </c>
      <c r="AR64" s="12">
        <v>0</v>
      </c>
      <c r="AS64" s="4">
        <v>1</v>
      </c>
      <c r="AT64" s="7">
        <v>52031</v>
      </c>
      <c r="AU64" s="8">
        <v>2</v>
      </c>
      <c r="AV64" s="7">
        <v>7260</v>
      </c>
      <c r="AW64" s="12">
        <v>0.13953220195652591</v>
      </c>
      <c r="AX64" s="7">
        <v>2975</v>
      </c>
      <c r="AY64" s="12">
        <v>5.7177451903672807E-2</v>
      </c>
      <c r="AZ64" s="8">
        <v>0</v>
      </c>
      <c r="BA64" s="8">
        <v>1</v>
      </c>
      <c r="BB64" s="8">
        <v>1</v>
      </c>
      <c r="BC64" s="8">
        <v>0</v>
      </c>
      <c r="BD64" s="8">
        <v>0</v>
      </c>
      <c r="BE64" s="8">
        <v>0</v>
      </c>
      <c r="BF64" s="8">
        <v>0</v>
      </c>
      <c r="BG64" s="18">
        <v>0</v>
      </c>
      <c r="BH64" s="7">
        <v>0</v>
      </c>
      <c r="BI64" s="17">
        <v>0</v>
      </c>
      <c r="BJ64" s="1">
        <v>1</v>
      </c>
      <c r="BK64" s="7">
        <v>52031</v>
      </c>
      <c r="BL64" s="8">
        <v>2</v>
      </c>
      <c r="BM64" s="7">
        <v>7580</v>
      </c>
      <c r="BN64" s="12">
        <v>0.14568238165708905</v>
      </c>
      <c r="BO64" s="7">
        <v>7770</v>
      </c>
      <c r="BP64" s="12">
        <v>0.14929999999999999</v>
      </c>
      <c r="BQ64" s="1"/>
      <c r="BR64" s="1"/>
      <c r="BS64" s="1"/>
      <c r="BT64" s="1"/>
      <c r="BU64" s="1"/>
      <c r="BV64" s="1"/>
      <c r="BW64" s="1"/>
      <c r="BX64" s="1"/>
      <c r="BY64" s="1"/>
      <c r="BZ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</row>
    <row r="65" spans="1:110">
      <c r="A65" s="10" t="s">
        <v>324</v>
      </c>
      <c r="B65" s="8" t="s">
        <v>30</v>
      </c>
      <c r="C65" s="8" t="s">
        <v>346</v>
      </c>
      <c r="D65" s="8" t="s">
        <v>16</v>
      </c>
      <c r="E65" s="8">
        <v>1</v>
      </c>
      <c r="F65" s="10" t="s">
        <v>177</v>
      </c>
      <c r="G65" s="8" t="s">
        <v>16</v>
      </c>
      <c r="H65" s="4">
        <v>1</v>
      </c>
      <c r="I65" s="7">
        <v>103260</v>
      </c>
      <c r="J65" s="8">
        <v>2</v>
      </c>
      <c r="K65" s="7">
        <v>15905</v>
      </c>
      <c r="L65" s="12">
        <v>0.154</v>
      </c>
      <c r="M65" s="18">
        <v>0</v>
      </c>
      <c r="N65" s="18">
        <v>0</v>
      </c>
      <c r="O65" s="18">
        <v>0</v>
      </c>
      <c r="P65" s="18">
        <v>1</v>
      </c>
      <c r="Q65" s="18">
        <v>0</v>
      </c>
      <c r="R65" s="18">
        <v>0</v>
      </c>
      <c r="S65" s="18">
        <v>1</v>
      </c>
      <c r="T65" s="18">
        <v>0</v>
      </c>
      <c r="U65" s="7">
        <v>0</v>
      </c>
      <c r="V65" s="17">
        <v>0</v>
      </c>
      <c r="W65" s="4">
        <v>1</v>
      </c>
      <c r="X65" s="7">
        <v>112590</v>
      </c>
      <c r="Y65" s="8">
        <v>7</v>
      </c>
      <c r="Z65" s="7">
        <v>43869</v>
      </c>
      <c r="AA65" s="12">
        <v>0.38963495869970688</v>
      </c>
      <c r="AB65" s="7">
        <v>985</v>
      </c>
      <c r="AC65" s="12">
        <v>8.7485567101874065E-3</v>
      </c>
      <c r="AD65" s="14">
        <v>4</v>
      </c>
      <c r="AE65" s="14">
        <v>1</v>
      </c>
      <c r="AF65" s="14">
        <v>0</v>
      </c>
      <c r="AG65" s="14">
        <v>1</v>
      </c>
      <c r="AH65" s="14">
        <v>0</v>
      </c>
      <c r="AI65" s="14">
        <v>0</v>
      </c>
      <c r="AJ65" s="14">
        <v>1</v>
      </c>
      <c r="AK65" s="18">
        <v>0</v>
      </c>
      <c r="AL65" s="7">
        <v>0</v>
      </c>
      <c r="AM65" s="17">
        <v>0</v>
      </c>
      <c r="AN65" s="4">
        <v>1</v>
      </c>
      <c r="AO65" s="7">
        <v>116769</v>
      </c>
      <c r="AP65" s="8">
        <v>0</v>
      </c>
      <c r="AQ65" s="7">
        <v>0</v>
      </c>
      <c r="AR65" s="12">
        <v>0</v>
      </c>
      <c r="AS65" s="4">
        <v>1</v>
      </c>
      <c r="AT65" s="7">
        <v>116469</v>
      </c>
      <c r="AU65" s="8">
        <v>4</v>
      </c>
      <c r="AV65" s="7">
        <v>27070</v>
      </c>
      <c r="AW65" s="12">
        <v>0.23242236131502803</v>
      </c>
      <c r="AX65" s="7">
        <v>15825</v>
      </c>
      <c r="AY65" s="12">
        <v>0.13587306493573398</v>
      </c>
      <c r="AZ65" s="14">
        <v>2</v>
      </c>
      <c r="BA65" s="14">
        <v>1</v>
      </c>
      <c r="BB65" s="14">
        <v>0</v>
      </c>
      <c r="BC65" s="14">
        <v>1</v>
      </c>
      <c r="BD65" s="14">
        <v>0</v>
      </c>
      <c r="BE65" s="14">
        <v>0</v>
      </c>
      <c r="BF65" s="14">
        <v>0</v>
      </c>
      <c r="BG65" s="18">
        <v>0</v>
      </c>
      <c r="BH65" s="7">
        <v>0</v>
      </c>
      <c r="BI65" s="17">
        <v>0</v>
      </c>
      <c r="BJ65" s="1">
        <v>1</v>
      </c>
      <c r="BK65" s="7">
        <v>116469</v>
      </c>
      <c r="BL65" s="8">
        <v>0</v>
      </c>
      <c r="BM65" s="7">
        <v>0</v>
      </c>
      <c r="BN65" s="12">
        <v>0</v>
      </c>
      <c r="BO65" s="7">
        <v>1835</v>
      </c>
      <c r="BP65" s="12">
        <v>1.5800000000000002E-2</v>
      </c>
      <c r="BQ65" s="1"/>
      <c r="BR65" s="1"/>
      <c r="BS65" s="1"/>
      <c r="BT65" s="1"/>
      <c r="BU65" s="1"/>
      <c r="BV65" s="1"/>
      <c r="BW65" s="1"/>
      <c r="BX65" s="1"/>
      <c r="BY65" s="1"/>
      <c r="BZ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</row>
    <row r="66" spans="1:110">
      <c r="A66" s="10" t="s">
        <v>324</v>
      </c>
      <c r="B66" s="8" t="s">
        <v>30</v>
      </c>
      <c r="C66" s="8" t="s">
        <v>346</v>
      </c>
      <c r="D66" s="8" t="s">
        <v>16</v>
      </c>
      <c r="F66" s="10" t="s">
        <v>179</v>
      </c>
      <c r="G66" s="8" t="s">
        <v>17</v>
      </c>
      <c r="H66" s="4">
        <v>1</v>
      </c>
      <c r="I66" s="7">
        <v>59249</v>
      </c>
      <c r="J66" s="8">
        <v>3</v>
      </c>
      <c r="K66" s="7">
        <v>21030</v>
      </c>
      <c r="L66" s="12">
        <v>0.35489999999999999</v>
      </c>
      <c r="M66" s="18">
        <v>0</v>
      </c>
      <c r="N66" s="18">
        <v>1</v>
      </c>
      <c r="O66" s="18">
        <v>0</v>
      </c>
      <c r="P66" s="18">
        <v>1</v>
      </c>
      <c r="Q66" s="18">
        <v>0</v>
      </c>
      <c r="R66" s="18">
        <v>0</v>
      </c>
      <c r="S66" s="18">
        <v>1</v>
      </c>
      <c r="T66" s="18">
        <v>0</v>
      </c>
      <c r="U66" s="7">
        <v>0</v>
      </c>
      <c r="V66" s="17">
        <v>0</v>
      </c>
      <c r="W66" s="4">
        <v>1</v>
      </c>
      <c r="X66" s="7">
        <v>57578</v>
      </c>
      <c r="Y66" s="8">
        <v>5</v>
      </c>
      <c r="Z66" s="7">
        <v>33130</v>
      </c>
      <c r="AA66" s="12">
        <v>0.57539337941574908</v>
      </c>
      <c r="AB66" s="7">
        <v>1687</v>
      </c>
      <c r="AC66" s="12">
        <v>2.9299385181840287E-2</v>
      </c>
      <c r="AD66" s="14">
        <v>0</v>
      </c>
      <c r="AE66" s="14">
        <v>3</v>
      </c>
      <c r="AF66" s="14">
        <v>0</v>
      </c>
      <c r="AG66" s="14">
        <v>0</v>
      </c>
      <c r="AH66" s="14">
        <v>1</v>
      </c>
      <c r="AI66" s="14">
        <v>0</v>
      </c>
      <c r="AJ66" s="14">
        <v>1</v>
      </c>
      <c r="AK66" s="18">
        <v>1</v>
      </c>
      <c r="AL66" s="7">
        <v>4913</v>
      </c>
      <c r="AM66" s="17">
        <v>8.5327729341067762E-2</v>
      </c>
      <c r="AN66" s="4">
        <v>1</v>
      </c>
      <c r="AO66" s="7">
        <v>61452</v>
      </c>
      <c r="AP66" s="8">
        <v>0</v>
      </c>
      <c r="AQ66" s="7">
        <v>0</v>
      </c>
      <c r="AR66" s="12">
        <v>0</v>
      </c>
      <c r="AS66" s="4">
        <v>1</v>
      </c>
      <c r="AT66" s="7">
        <v>60799</v>
      </c>
      <c r="AU66" s="8">
        <v>4</v>
      </c>
      <c r="AV66" s="7">
        <v>23825</v>
      </c>
      <c r="AW66" s="12">
        <v>0.39186499777956874</v>
      </c>
      <c r="AX66" s="7">
        <v>8065</v>
      </c>
      <c r="AY66" s="12">
        <v>0.13265020806263261</v>
      </c>
      <c r="AZ66" s="14">
        <v>0</v>
      </c>
      <c r="BA66" s="14">
        <v>2</v>
      </c>
      <c r="BB66" s="14">
        <v>0</v>
      </c>
      <c r="BC66" s="14">
        <v>2</v>
      </c>
      <c r="BD66" s="14">
        <v>0</v>
      </c>
      <c r="BE66" s="14">
        <v>0</v>
      </c>
      <c r="BF66" s="14">
        <v>0</v>
      </c>
      <c r="BG66" s="18">
        <v>0</v>
      </c>
      <c r="BH66" s="7">
        <v>0</v>
      </c>
      <c r="BI66" s="17">
        <v>0</v>
      </c>
      <c r="BJ66" s="1">
        <v>1</v>
      </c>
      <c r="BK66" s="7">
        <v>60799</v>
      </c>
      <c r="BL66" s="8">
        <v>0</v>
      </c>
      <c r="BM66" s="7">
        <v>0</v>
      </c>
      <c r="BN66" s="12">
        <v>0</v>
      </c>
      <c r="BO66" s="7">
        <v>0</v>
      </c>
      <c r="BP66" s="12">
        <v>0</v>
      </c>
      <c r="BQ66" s="1"/>
      <c r="BR66" s="1"/>
      <c r="BS66" s="1"/>
      <c r="BT66" s="1"/>
      <c r="BU66" s="1"/>
      <c r="BV66" s="1"/>
      <c r="BW66" s="1"/>
      <c r="BX66" s="1"/>
      <c r="BY66" s="1"/>
      <c r="BZ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</row>
    <row r="67" spans="1:110">
      <c r="A67" s="10" t="s">
        <v>330</v>
      </c>
      <c r="B67" s="8" t="s">
        <v>71</v>
      </c>
      <c r="C67" s="8" t="s">
        <v>347</v>
      </c>
      <c r="D67" s="8" t="s">
        <v>60</v>
      </c>
      <c r="E67" s="8">
        <v>1</v>
      </c>
      <c r="F67" s="10" t="s">
        <v>228</v>
      </c>
      <c r="G67" s="8" t="s">
        <v>60</v>
      </c>
      <c r="H67" s="4">
        <v>1</v>
      </c>
      <c r="I67" s="7">
        <v>144021</v>
      </c>
      <c r="J67" s="8">
        <v>0</v>
      </c>
      <c r="K67" s="7">
        <v>0</v>
      </c>
      <c r="L67" s="12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18">
        <f>SUM(Tabla2[[#This Row],[EST_BBVV91]:[ESTyPARyVIV_BBVV91]])</f>
        <v>0</v>
      </c>
      <c r="U67" s="7">
        <v>0</v>
      </c>
      <c r="V67" s="17">
        <v>0</v>
      </c>
      <c r="W67" s="4">
        <v>1</v>
      </c>
      <c r="X67" s="7">
        <v>130916</v>
      </c>
      <c r="Y67" s="8">
        <v>0</v>
      </c>
      <c r="Z67" s="7">
        <v>0</v>
      </c>
      <c r="AA67" s="12">
        <v>0</v>
      </c>
      <c r="AB67" s="7">
        <v>9363</v>
      </c>
      <c r="AC67" s="12">
        <v>7.151914204528094E-2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18">
        <v>0</v>
      </c>
      <c r="AL67" s="7">
        <v>0</v>
      </c>
      <c r="AM67" s="17">
        <v>0</v>
      </c>
      <c r="AN67" s="4">
        <v>1</v>
      </c>
      <c r="AO67" s="7">
        <v>136985</v>
      </c>
      <c r="AP67" s="8">
        <v>0</v>
      </c>
      <c r="AQ67" s="7">
        <v>0</v>
      </c>
      <c r="AR67" s="12">
        <v>0</v>
      </c>
      <c r="AS67" s="4">
        <v>1</v>
      </c>
      <c r="AT67" s="7">
        <v>131411</v>
      </c>
      <c r="AU67" s="8">
        <v>2</v>
      </c>
      <c r="AV67" s="7">
        <v>11830</v>
      </c>
      <c r="AW67" s="12">
        <v>9.0022905236243539E-2</v>
      </c>
      <c r="AX67" s="7">
        <v>12105</v>
      </c>
      <c r="AY67" s="12">
        <v>9.2115576321616918E-2</v>
      </c>
      <c r="AZ67" s="8">
        <v>0</v>
      </c>
      <c r="BA67" s="8">
        <v>0</v>
      </c>
      <c r="BB67" s="8">
        <v>2</v>
      </c>
      <c r="BC67" s="8">
        <v>0</v>
      </c>
      <c r="BD67" s="8">
        <v>0</v>
      </c>
      <c r="BE67" s="8">
        <v>0</v>
      </c>
      <c r="BF67" s="8">
        <v>0</v>
      </c>
      <c r="BG67" s="18">
        <v>0</v>
      </c>
      <c r="BH67" s="7">
        <v>0</v>
      </c>
      <c r="BI67" s="17">
        <v>0</v>
      </c>
      <c r="BJ67" s="1">
        <v>1</v>
      </c>
      <c r="BK67" s="7">
        <v>131411</v>
      </c>
      <c r="BL67" s="8">
        <v>0</v>
      </c>
      <c r="BM67" s="7">
        <v>0</v>
      </c>
      <c r="BN67" s="12">
        <v>0</v>
      </c>
      <c r="BO67" s="7">
        <v>9665</v>
      </c>
      <c r="BP67" s="12">
        <v>7.3499999999999996E-2</v>
      </c>
      <c r="BQ67" s="1"/>
      <c r="BR67" s="1"/>
      <c r="BS67" s="1"/>
      <c r="BT67" s="1"/>
      <c r="BU67" s="1"/>
      <c r="BV67" s="1"/>
      <c r="BW67" s="1"/>
      <c r="BX67" s="1"/>
      <c r="BY67" s="1"/>
      <c r="BZ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</row>
    <row r="68" spans="1:110">
      <c r="A68" s="10" t="s">
        <v>330</v>
      </c>
      <c r="B68" s="8" t="s">
        <v>71</v>
      </c>
      <c r="C68" s="8" t="s">
        <v>347</v>
      </c>
      <c r="D68" s="8" t="s">
        <v>60</v>
      </c>
      <c r="F68" s="10" t="s">
        <v>234</v>
      </c>
      <c r="G68" s="8" t="s">
        <v>61</v>
      </c>
      <c r="H68" s="4">
        <v>1</v>
      </c>
      <c r="I68" s="7">
        <v>59948</v>
      </c>
      <c r="J68" s="8">
        <v>0</v>
      </c>
      <c r="K68" s="7">
        <v>0</v>
      </c>
      <c r="L68" s="12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18">
        <f>SUM(Tabla2[[#This Row],[EST_BBVV91]:[ESTyPARyVIV_BBVV91]])</f>
        <v>0</v>
      </c>
      <c r="U68" s="7">
        <v>0</v>
      </c>
      <c r="V68" s="17">
        <v>0</v>
      </c>
      <c r="W68" s="4">
        <v>1</v>
      </c>
      <c r="X68" s="7">
        <v>62175</v>
      </c>
      <c r="Y68" s="8">
        <v>0</v>
      </c>
      <c r="Z68" s="7">
        <v>0</v>
      </c>
      <c r="AA68" s="12">
        <v>0</v>
      </c>
      <c r="AB68" s="7">
        <v>12874</v>
      </c>
      <c r="AC68" s="12">
        <v>0.20706071572175311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18">
        <v>0</v>
      </c>
      <c r="AL68" s="7">
        <v>0</v>
      </c>
      <c r="AM68" s="17">
        <v>0</v>
      </c>
      <c r="AN68" s="4">
        <v>1</v>
      </c>
      <c r="AO68" s="7">
        <v>66656</v>
      </c>
      <c r="AP68" s="8">
        <v>0</v>
      </c>
      <c r="AQ68" s="7">
        <v>0</v>
      </c>
      <c r="AR68" s="12">
        <v>0</v>
      </c>
      <c r="AS68" s="4">
        <v>1</v>
      </c>
      <c r="AT68" s="7">
        <v>68383</v>
      </c>
      <c r="AU68" s="8">
        <v>2</v>
      </c>
      <c r="AV68" s="7">
        <v>8610</v>
      </c>
      <c r="AW68" s="12">
        <v>0.12590848602722898</v>
      </c>
      <c r="AX68" s="7">
        <v>17760</v>
      </c>
      <c r="AY68" s="12">
        <v>0.25971367152654901</v>
      </c>
      <c r="AZ68" s="8">
        <v>1</v>
      </c>
      <c r="BA68" s="8">
        <v>0</v>
      </c>
      <c r="BB68" s="8">
        <v>1</v>
      </c>
      <c r="BC68" s="8">
        <v>0</v>
      </c>
      <c r="BD68" s="8">
        <v>0</v>
      </c>
      <c r="BE68" s="8">
        <v>0</v>
      </c>
      <c r="BF68" s="8">
        <v>0</v>
      </c>
      <c r="BG68" s="18">
        <v>1</v>
      </c>
      <c r="BH68" s="7">
        <v>4155</v>
      </c>
      <c r="BI68" s="17">
        <v>6.0760715382478105E-2</v>
      </c>
      <c r="BJ68" s="1">
        <v>1</v>
      </c>
      <c r="BK68" s="7">
        <v>68383</v>
      </c>
      <c r="BL68" s="8">
        <v>0</v>
      </c>
      <c r="BM68" s="7">
        <v>0</v>
      </c>
      <c r="BN68" s="12">
        <v>0</v>
      </c>
      <c r="BO68" s="7">
        <v>0</v>
      </c>
      <c r="BP68" s="12">
        <v>0</v>
      </c>
      <c r="BQ68" s="1"/>
      <c r="BR68" s="1"/>
      <c r="BS68" s="1"/>
      <c r="BT68" s="1"/>
      <c r="BU68" s="1"/>
      <c r="BV68" s="1"/>
      <c r="BW68" s="1"/>
      <c r="BX68" s="1"/>
      <c r="BY68" s="1"/>
      <c r="BZ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</row>
    <row r="69" spans="1:110">
      <c r="A69" s="10" t="s">
        <v>332</v>
      </c>
      <c r="B69" s="8" t="s">
        <v>104</v>
      </c>
      <c r="C69" s="8" t="s">
        <v>348</v>
      </c>
      <c r="D69" s="8" t="s">
        <v>94</v>
      </c>
      <c r="E69" s="8">
        <v>1</v>
      </c>
      <c r="F69" s="10" t="s">
        <v>229</v>
      </c>
      <c r="G69" s="8" t="s">
        <v>94</v>
      </c>
      <c r="H69" s="4">
        <v>1</v>
      </c>
      <c r="I69" s="7">
        <v>112093</v>
      </c>
      <c r="J69" s="8">
        <v>1</v>
      </c>
      <c r="K69" s="7">
        <v>4103</v>
      </c>
      <c r="L69" s="12">
        <v>3.6600000000000001E-2</v>
      </c>
      <c r="M69" s="18">
        <v>0</v>
      </c>
      <c r="N69" s="18">
        <v>0</v>
      </c>
      <c r="O69" s="18">
        <v>1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7">
        <v>0</v>
      </c>
      <c r="V69" s="17">
        <v>0</v>
      </c>
      <c r="W69" s="4">
        <v>1</v>
      </c>
      <c r="X69" s="7">
        <v>112199</v>
      </c>
      <c r="Y69" s="8">
        <v>2</v>
      </c>
      <c r="Z69" s="7">
        <v>10299</v>
      </c>
      <c r="AA69" s="12">
        <v>9.1792261963119098E-2</v>
      </c>
      <c r="AB69" s="7">
        <v>4936</v>
      </c>
      <c r="AC69" s="12">
        <v>4.3993261972031836E-2</v>
      </c>
      <c r="AD69" s="14">
        <v>1</v>
      </c>
      <c r="AE69" s="14">
        <v>0</v>
      </c>
      <c r="AF69" s="14">
        <v>1</v>
      </c>
      <c r="AG69" s="14">
        <v>0</v>
      </c>
      <c r="AH69" s="14">
        <v>0</v>
      </c>
      <c r="AI69" s="14">
        <v>0</v>
      </c>
      <c r="AJ69" s="14">
        <v>0</v>
      </c>
      <c r="AK69" s="18">
        <v>0</v>
      </c>
      <c r="AL69" s="7">
        <v>0</v>
      </c>
      <c r="AM69" s="17">
        <v>0</v>
      </c>
      <c r="AN69" s="4">
        <v>1</v>
      </c>
      <c r="AO69" s="7">
        <v>125677</v>
      </c>
      <c r="AP69" s="8">
        <v>3</v>
      </c>
      <c r="AQ69" s="7">
        <v>24360</v>
      </c>
      <c r="AR69" s="12">
        <v>0.1938</v>
      </c>
      <c r="AS69" s="4">
        <v>1</v>
      </c>
      <c r="AT69" s="7">
        <v>137283</v>
      </c>
      <c r="AU69" s="8">
        <v>4</v>
      </c>
      <c r="AV69" s="7">
        <v>21455</v>
      </c>
      <c r="AW69" s="12">
        <v>0.15628300663592726</v>
      </c>
      <c r="AX69" s="7">
        <v>10200</v>
      </c>
      <c r="AY69" s="12">
        <v>7.4299075632088457E-2</v>
      </c>
      <c r="AZ69" s="14">
        <v>0</v>
      </c>
      <c r="BA69" s="14">
        <v>1</v>
      </c>
      <c r="BB69" s="14">
        <v>3</v>
      </c>
      <c r="BC69" s="14">
        <v>0</v>
      </c>
      <c r="BD69" s="14">
        <v>0</v>
      </c>
      <c r="BE69" s="14">
        <v>0</v>
      </c>
      <c r="BF69" s="14">
        <v>0</v>
      </c>
      <c r="BG69" s="18">
        <v>0</v>
      </c>
      <c r="BH69" s="7">
        <v>0</v>
      </c>
      <c r="BI69" s="17">
        <v>0</v>
      </c>
      <c r="BJ69" s="1">
        <v>1</v>
      </c>
      <c r="BK69" s="7">
        <v>137283</v>
      </c>
      <c r="BL69" s="8">
        <v>10</v>
      </c>
      <c r="BM69" s="7">
        <v>80115</v>
      </c>
      <c r="BN69" s="12">
        <v>0.58357553375144777</v>
      </c>
      <c r="BO69" s="7">
        <v>3290</v>
      </c>
      <c r="BP69" s="12">
        <v>2.4E-2</v>
      </c>
      <c r="BQ69" s="1"/>
      <c r="BR69" s="1"/>
      <c r="BS69" s="1"/>
      <c r="BT69" s="1"/>
      <c r="BU69" s="1"/>
      <c r="BV69" s="1"/>
      <c r="BW69" s="1"/>
      <c r="BX69" s="1"/>
      <c r="BY69" s="1"/>
      <c r="BZ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</row>
    <row r="70" spans="1:110">
      <c r="A70" t="s">
        <v>340</v>
      </c>
      <c r="B70" s="8" t="s">
        <v>163</v>
      </c>
      <c r="C70" s="8" t="s">
        <v>349</v>
      </c>
      <c r="D70" t="s">
        <v>163</v>
      </c>
      <c r="E70" s="8">
        <v>1</v>
      </c>
      <c r="F70" s="10" t="s">
        <v>308</v>
      </c>
      <c r="G70" s="8" t="s">
        <v>159</v>
      </c>
      <c r="H70" s="4">
        <v>1</v>
      </c>
      <c r="I70" s="7">
        <v>122254</v>
      </c>
      <c r="J70" s="8">
        <v>1</v>
      </c>
      <c r="K70" s="7">
        <v>3448</v>
      </c>
      <c r="L70" s="12">
        <v>2.8199999999999999E-2</v>
      </c>
      <c r="M70" s="18">
        <v>0</v>
      </c>
      <c r="N70" s="18">
        <v>0</v>
      </c>
      <c r="O70" s="18">
        <v>0</v>
      </c>
      <c r="P70" s="18">
        <v>0</v>
      </c>
      <c r="Q70" s="18">
        <v>1</v>
      </c>
      <c r="R70" s="18">
        <v>0</v>
      </c>
      <c r="S70" s="18">
        <v>0</v>
      </c>
      <c r="T70" s="18">
        <v>1</v>
      </c>
      <c r="U70" s="7">
        <v>3448</v>
      </c>
      <c r="V70" s="17">
        <v>2.8203576161107202E-2</v>
      </c>
      <c r="W70" s="4">
        <v>1</v>
      </c>
      <c r="X70" s="7">
        <v>133058</v>
      </c>
      <c r="Y70" s="8">
        <v>1</v>
      </c>
      <c r="Z70" s="7">
        <v>3574</v>
      </c>
      <c r="AA70" s="12">
        <v>2.6860466864074315E-2</v>
      </c>
      <c r="AB70" s="7">
        <v>3599</v>
      </c>
      <c r="AC70" s="12">
        <v>2.7048354852770972E-2</v>
      </c>
      <c r="AD70" s="14">
        <v>0</v>
      </c>
      <c r="AE70" s="14">
        <v>0</v>
      </c>
      <c r="AF70" s="14">
        <v>1</v>
      </c>
      <c r="AG70" s="14">
        <v>0</v>
      </c>
      <c r="AH70" s="14">
        <v>0</v>
      </c>
      <c r="AI70" s="14">
        <v>0</v>
      </c>
      <c r="AJ70" s="14">
        <v>0</v>
      </c>
      <c r="AK70" s="18">
        <v>0</v>
      </c>
      <c r="AL70" s="7">
        <v>0</v>
      </c>
      <c r="AM70" s="17">
        <v>0</v>
      </c>
      <c r="AN70" s="4">
        <v>1</v>
      </c>
      <c r="AO70" s="7">
        <v>147036</v>
      </c>
      <c r="AP70" s="8">
        <v>4</v>
      </c>
      <c r="AQ70" s="7">
        <v>24474</v>
      </c>
      <c r="AR70" s="12">
        <v>0.16639999999999999</v>
      </c>
      <c r="AS70" s="4">
        <v>1</v>
      </c>
      <c r="AT70" s="7">
        <v>152698</v>
      </c>
      <c r="AU70" s="8">
        <v>2</v>
      </c>
      <c r="AV70" s="7">
        <v>8095</v>
      </c>
      <c r="AW70" s="12">
        <v>5.3013137041742521E-2</v>
      </c>
      <c r="AX70" s="7">
        <v>13600</v>
      </c>
      <c r="AY70" s="12">
        <v>8.9064689779826844E-2</v>
      </c>
      <c r="AZ70" s="14">
        <v>0</v>
      </c>
      <c r="BA70" s="14">
        <v>0</v>
      </c>
      <c r="BB70" s="14">
        <v>2</v>
      </c>
      <c r="BC70" s="14">
        <v>0</v>
      </c>
      <c r="BD70" s="14">
        <v>0</v>
      </c>
      <c r="BE70" s="14">
        <v>0</v>
      </c>
      <c r="BF70" s="14">
        <v>0</v>
      </c>
      <c r="BG70" s="18">
        <v>0</v>
      </c>
      <c r="BH70" s="7">
        <v>0</v>
      </c>
      <c r="BI70" s="17">
        <v>0</v>
      </c>
      <c r="BJ70" s="1">
        <v>1</v>
      </c>
      <c r="BK70" s="7">
        <v>152698</v>
      </c>
      <c r="BL70" s="8">
        <v>7</v>
      </c>
      <c r="BM70" s="7">
        <v>50400</v>
      </c>
      <c r="BN70" s="12">
        <v>0.33006326212524068</v>
      </c>
      <c r="BO70" s="7">
        <v>10165</v>
      </c>
      <c r="BP70" s="12">
        <v>6.6600000000000006E-2</v>
      </c>
      <c r="BQ70" s="1"/>
      <c r="BR70" s="1"/>
      <c r="BS70" s="1"/>
      <c r="BT70" s="1"/>
      <c r="BU70" s="1"/>
      <c r="BV70" s="1"/>
      <c r="BW70" s="1"/>
      <c r="BX70" s="1"/>
      <c r="BY70" s="1"/>
      <c r="BZ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</row>
    <row r="71" spans="1:110">
      <c r="A71" s="10" t="s">
        <v>335</v>
      </c>
      <c r="B71" s="8" t="s">
        <v>137</v>
      </c>
      <c r="C71" s="8" t="s">
        <v>350</v>
      </c>
      <c r="D71" s="8" t="s">
        <v>118</v>
      </c>
      <c r="E71" s="8">
        <v>1</v>
      </c>
      <c r="F71" s="10" t="s">
        <v>263</v>
      </c>
      <c r="G71" s="8" t="s">
        <v>118</v>
      </c>
      <c r="H71" s="4">
        <v>1</v>
      </c>
      <c r="I71" s="7">
        <v>83242</v>
      </c>
      <c r="J71" s="8">
        <v>1</v>
      </c>
      <c r="K71" s="7">
        <v>6010</v>
      </c>
      <c r="L71" s="12">
        <v>7.22E-2</v>
      </c>
      <c r="M71" s="18">
        <v>0</v>
      </c>
      <c r="N71" s="18">
        <v>0</v>
      </c>
      <c r="O71" s="18">
        <v>1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7">
        <v>0</v>
      </c>
      <c r="V71" s="17">
        <v>0</v>
      </c>
      <c r="W71" s="4">
        <v>1</v>
      </c>
      <c r="X71" s="7">
        <v>88414</v>
      </c>
      <c r="Y71" s="8">
        <v>1</v>
      </c>
      <c r="Z71" s="7">
        <v>3679</v>
      </c>
      <c r="AA71" s="12">
        <v>4.1611057072409349E-2</v>
      </c>
      <c r="AB71" s="7">
        <v>14970</v>
      </c>
      <c r="AC71" s="12">
        <v>0.16931707648110028</v>
      </c>
      <c r="AD71" s="14">
        <v>0</v>
      </c>
      <c r="AE71" s="14">
        <v>0</v>
      </c>
      <c r="AF71" s="14">
        <v>1</v>
      </c>
      <c r="AG71" s="14">
        <v>0</v>
      </c>
      <c r="AH71" s="14">
        <v>0</v>
      </c>
      <c r="AI71" s="14">
        <v>0</v>
      </c>
      <c r="AJ71" s="14">
        <v>0</v>
      </c>
      <c r="AK71" s="18">
        <v>0</v>
      </c>
      <c r="AL71" s="7">
        <v>0</v>
      </c>
      <c r="AM71" s="17">
        <v>0</v>
      </c>
      <c r="AN71" s="4">
        <v>1</v>
      </c>
      <c r="AO71" s="7">
        <v>93450</v>
      </c>
      <c r="AP71" s="8">
        <v>0</v>
      </c>
      <c r="AQ71" s="7">
        <v>0</v>
      </c>
      <c r="AR71" s="12">
        <v>0</v>
      </c>
      <c r="AS71" s="4">
        <v>1</v>
      </c>
      <c r="AT71" s="7">
        <v>98001</v>
      </c>
      <c r="AU71" s="8">
        <v>3</v>
      </c>
      <c r="AV71" s="7">
        <v>24825</v>
      </c>
      <c r="AW71" s="12">
        <v>0.25331374169651333</v>
      </c>
      <c r="AX71" s="7">
        <v>17710</v>
      </c>
      <c r="AY71" s="12">
        <v>0.18071244170977846</v>
      </c>
      <c r="AZ71" s="14">
        <v>0</v>
      </c>
      <c r="BA71" s="14">
        <v>0</v>
      </c>
      <c r="BB71" s="14">
        <v>3</v>
      </c>
      <c r="BC71" s="14">
        <v>0</v>
      </c>
      <c r="BD71" s="14">
        <v>0</v>
      </c>
      <c r="BE71" s="14">
        <v>0</v>
      </c>
      <c r="BF71" s="14">
        <v>0</v>
      </c>
      <c r="BG71" s="18">
        <v>0</v>
      </c>
      <c r="BH71" s="7">
        <v>0</v>
      </c>
      <c r="BI71" s="17">
        <v>0</v>
      </c>
      <c r="BJ71" s="1">
        <v>1</v>
      </c>
      <c r="BK71" s="7">
        <v>98001</v>
      </c>
      <c r="BL71" s="8">
        <v>1</v>
      </c>
      <c r="BM71" s="7">
        <v>6065</v>
      </c>
      <c r="BN71" s="12">
        <v>6.1887123600779581E-2</v>
      </c>
      <c r="BO71" s="7">
        <v>0</v>
      </c>
      <c r="BP71" s="12">
        <v>0</v>
      </c>
      <c r="BQ71" s="1"/>
      <c r="BR71" s="1"/>
      <c r="BS71" s="1"/>
      <c r="BT71" s="1"/>
      <c r="BU71" s="1"/>
      <c r="BV71" s="1"/>
      <c r="BW71" s="1"/>
      <c r="BX71" s="1"/>
      <c r="BY71" s="1"/>
      <c r="BZ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</row>
    <row r="72" spans="1:110">
      <c r="A72" s="10" t="s">
        <v>336</v>
      </c>
      <c r="B72" s="8" t="s">
        <v>138</v>
      </c>
      <c r="C72" s="8" t="s">
        <v>351</v>
      </c>
      <c r="D72" s="8" t="s">
        <v>132</v>
      </c>
      <c r="F72" s="10" t="s">
        <v>277</v>
      </c>
      <c r="G72" s="8" t="s">
        <v>122</v>
      </c>
      <c r="H72" s="4">
        <v>1</v>
      </c>
      <c r="I72" s="7">
        <v>159355</v>
      </c>
      <c r="J72" s="8">
        <v>1</v>
      </c>
      <c r="K72" s="7">
        <v>3900</v>
      </c>
      <c r="L72" s="12">
        <v>2.4500000000000001E-2</v>
      </c>
      <c r="M72" s="18">
        <v>0</v>
      </c>
      <c r="N72" s="18">
        <v>0</v>
      </c>
      <c r="O72" s="18">
        <v>0</v>
      </c>
      <c r="P72" s="18">
        <v>1</v>
      </c>
      <c r="Q72" s="18">
        <v>0</v>
      </c>
      <c r="R72" s="18">
        <v>0</v>
      </c>
      <c r="S72" s="18">
        <v>0</v>
      </c>
      <c r="T72" s="18">
        <v>0</v>
      </c>
      <c r="U72" s="7">
        <v>0</v>
      </c>
      <c r="V72" s="17">
        <v>0</v>
      </c>
      <c r="W72" s="4">
        <v>1</v>
      </c>
      <c r="X72" s="7">
        <v>176434</v>
      </c>
      <c r="Y72" s="8">
        <v>2</v>
      </c>
      <c r="Z72" s="7">
        <v>10356</v>
      </c>
      <c r="AA72" s="12">
        <v>5.8696169672512101E-2</v>
      </c>
      <c r="AB72" s="7">
        <v>17739</v>
      </c>
      <c r="AC72" s="12">
        <v>0.10054184567600349</v>
      </c>
      <c r="AD72" s="14">
        <v>2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8">
        <v>0</v>
      </c>
      <c r="AL72" s="7">
        <v>0</v>
      </c>
      <c r="AM72" s="17">
        <v>0</v>
      </c>
      <c r="AN72" s="4">
        <v>1</v>
      </c>
      <c r="AO72" s="7">
        <v>201380</v>
      </c>
      <c r="AP72" s="8">
        <v>10</v>
      </c>
      <c r="AQ72" s="7">
        <v>87484</v>
      </c>
      <c r="AR72" s="12">
        <v>0.43440000000000001</v>
      </c>
      <c r="AS72" s="4">
        <v>1</v>
      </c>
      <c r="AT72" s="7">
        <v>200505</v>
      </c>
      <c r="AU72" s="8">
        <v>5</v>
      </c>
      <c r="AV72" s="7">
        <v>37940</v>
      </c>
      <c r="AW72" s="12">
        <v>0.18922221390987756</v>
      </c>
      <c r="AX72" s="7">
        <v>12895</v>
      </c>
      <c r="AY72" s="12">
        <v>6.4312610658088326E-2</v>
      </c>
      <c r="AZ72" s="14">
        <v>2</v>
      </c>
      <c r="BA72" s="14">
        <v>3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8">
        <v>0</v>
      </c>
      <c r="BH72" s="7">
        <v>0</v>
      </c>
      <c r="BI72" s="17">
        <v>0</v>
      </c>
      <c r="BJ72" s="1">
        <v>1</v>
      </c>
      <c r="BK72" s="7">
        <v>200505</v>
      </c>
      <c r="BL72" s="8">
        <v>12</v>
      </c>
      <c r="BM72" s="7">
        <v>105790</v>
      </c>
      <c r="BN72" s="12">
        <v>0.52761776514301384</v>
      </c>
      <c r="BO72" s="7">
        <v>1675</v>
      </c>
      <c r="BP72" s="12">
        <v>8.3999999999999995E-3</v>
      </c>
      <c r="BQ72" s="1"/>
      <c r="BR72" s="1"/>
      <c r="BS72" s="1"/>
      <c r="BT72" s="1"/>
      <c r="BU72" s="1"/>
      <c r="BV72" s="1"/>
      <c r="BW72" s="1"/>
      <c r="BX72" s="1"/>
      <c r="BY72" s="1"/>
      <c r="BZ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</row>
    <row r="73" spans="1:110">
      <c r="A73" s="10" t="s">
        <v>336</v>
      </c>
      <c r="B73" s="8" t="s">
        <v>138</v>
      </c>
      <c r="C73" s="8" t="s">
        <v>351</v>
      </c>
      <c r="D73" s="8" t="s">
        <v>132</v>
      </c>
      <c r="F73" s="10" t="s">
        <v>278</v>
      </c>
      <c r="G73" s="8" t="s">
        <v>123</v>
      </c>
      <c r="H73" s="4">
        <v>1</v>
      </c>
      <c r="I73" s="7">
        <v>78725</v>
      </c>
      <c r="J73" s="8">
        <v>0</v>
      </c>
      <c r="K73" s="7">
        <v>0</v>
      </c>
      <c r="L73" s="12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18">
        <f>SUM(Tabla2[[#This Row],[EST_BBVV91]:[ESTyPARyVIV_BBVV91]])</f>
        <v>0</v>
      </c>
      <c r="U73" s="7">
        <v>0</v>
      </c>
      <c r="V73" s="17">
        <v>0</v>
      </c>
      <c r="W73" s="4">
        <v>1</v>
      </c>
      <c r="X73" s="7">
        <v>110351</v>
      </c>
      <c r="Y73" s="8">
        <v>0</v>
      </c>
      <c r="Z73" s="7">
        <v>0</v>
      </c>
      <c r="AA73" s="12">
        <v>0</v>
      </c>
      <c r="AB73" s="7">
        <v>3121</v>
      </c>
      <c r="AC73" s="12">
        <v>2.8282480448749897E-2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18">
        <v>0</v>
      </c>
      <c r="AL73" s="7">
        <v>0</v>
      </c>
      <c r="AM73" s="17">
        <v>0</v>
      </c>
      <c r="AN73" s="4">
        <v>1</v>
      </c>
      <c r="AO73" s="7">
        <v>104118</v>
      </c>
      <c r="AP73" s="8">
        <v>1</v>
      </c>
      <c r="AQ73" s="7">
        <v>4251</v>
      </c>
      <c r="AR73" s="12">
        <v>4.0800000000000003E-2</v>
      </c>
      <c r="AS73" s="4">
        <v>1</v>
      </c>
      <c r="AT73" s="7">
        <v>110351</v>
      </c>
      <c r="AU73" s="8">
        <v>3</v>
      </c>
      <c r="AV73" s="7">
        <v>19245</v>
      </c>
      <c r="AW73" s="12">
        <v>0.17439805710868048</v>
      </c>
      <c r="AX73" s="7">
        <v>2675</v>
      </c>
      <c r="AY73" s="12">
        <v>2.4240831528486374E-2</v>
      </c>
      <c r="AZ73" s="8">
        <v>2</v>
      </c>
      <c r="BA73" s="8">
        <v>0</v>
      </c>
      <c r="BB73" s="8">
        <v>1</v>
      </c>
      <c r="BC73" s="8">
        <v>0</v>
      </c>
      <c r="BD73" s="8">
        <v>0</v>
      </c>
      <c r="BE73" s="8">
        <v>0</v>
      </c>
      <c r="BF73" s="8">
        <v>0</v>
      </c>
      <c r="BG73" s="18">
        <v>0</v>
      </c>
      <c r="BH73" s="7">
        <v>0</v>
      </c>
      <c r="BI73" s="17">
        <v>0</v>
      </c>
      <c r="BJ73" s="1">
        <v>1</v>
      </c>
      <c r="BK73" s="7">
        <v>110351</v>
      </c>
      <c r="BL73" s="8">
        <v>7</v>
      </c>
      <c r="BM73" s="7">
        <v>42135</v>
      </c>
      <c r="BN73" s="12">
        <v>0.38182707904776575</v>
      </c>
      <c r="BO73" s="7">
        <v>5000</v>
      </c>
      <c r="BP73" s="12">
        <v>4.53E-2</v>
      </c>
      <c r="BQ73" s="1"/>
      <c r="BR73" s="1"/>
      <c r="BS73" s="1"/>
      <c r="BT73" s="1"/>
      <c r="BU73" s="1"/>
      <c r="BV73" s="1"/>
      <c r="BW73" s="1"/>
      <c r="BX73" s="1"/>
      <c r="BY73" s="1"/>
      <c r="BZ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</row>
    <row r="74" spans="1:110">
      <c r="A74" s="10" t="s">
        <v>336</v>
      </c>
      <c r="B74" s="8" t="s">
        <v>138</v>
      </c>
      <c r="C74" s="8" t="s">
        <v>351</v>
      </c>
      <c r="D74" s="8" t="s">
        <v>132</v>
      </c>
      <c r="F74" s="10" t="s">
        <v>279</v>
      </c>
      <c r="G74" s="8" t="s">
        <v>124</v>
      </c>
      <c r="H74" s="4">
        <v>1</v>
      </c>
      <c r="I74" s="7">
        <v>139662</v>
      </c>
      <c r="J74" s="8">
        <v>0</v>
      </c>
      <c r="K74" s="7">
        <v>0</v>
      </c>
      <c r="L74" s="12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18">
        <f>SUM(Tabla2[[#This Row],[EST_BBVV91]:[ESTyPARyVIV_BBVV91]])</f>
        <v>0</v>
      </c>
      <c r="U74" s="7">
        <v>0</v>
      </c>
      <c r="V74" s="17">
        <v>0</v>
      </c>
      <c r="W74" s="4">
        <v>1</v>
      </c>
      <c r="X74" s="7">
        <v>153100</v>
      </c>
      <c r="Y74" s="8">
        <v>2</v>
      </c>
      <c r="Z74" s="7">
        <v>14637</v>
      </c>
      <c r="AA74" s="12">
        <v>9.56041802743305E-2</v>
      </c>
      <c r="AB74" s="7">
        <v>4352</v>
      </c>
      <c r="AC74" s="12">
        <v>2.8425865447419988E-2</v>
      </c>
      <c r="AD74" s="14">
        <v>1</v>
      </c>
      <c r="AE74" s="14">
        <v>0</v>
      </c>
      <c r="AF74" s="14">
        <v>0</v>
      </c>
      <c r="AG74" s="14">
        <v>0</v>
      </c>
      <c r="AH74" s="14">
        <v>0</v>
      </c>
      <c r="AI74" s="14">
        <v>1</v>
      </c>
      <c r="AJ74" s="14">
        <v>0</v>
      </c>
      <c r="AK74" s="18">
        <v>0</v>
      </c>
      <c r="AL74" s="7">
        <v>0</v>
      </c>
      <c r="AM74" s="17">
        <v>0</v>
      </c>
      <c r="AN74" s="4">
        <v>1</v>
      </c>
      <c r="AO74" s="7">
        <v>164633</v>
      </c>
      <c r="AP74" s="8">
        <v>2</v>
      </c>
      <c r="AQ74" s="7">
        <v>11613</v>
      </c>
      <c r="AR74" s="12">
        <v>7.0499999999999993E-2</v>
      </c>
      <c r="AS74" s="4">
        <v>1</v>
      </c>
      <c r="AT74" s="7">
        <v>167217</v>
      </c>
      <c r="AU74" s="8">
        <v>5</v>
      </c>
      <c r="AV74" s="7">
        <v>29865</v>
      </c>
      <c r="AW74" s="12">
        <v>0.17860026193509032</v>
      </c>
      <c r="AX74" s="7">
        <v>15000</v>
      </c>
      <c r="AY74" s="12">
        <v>8.9703798058809806E-2</v>
      </c>
      <c r="AZ74" s="14">
        <v>2</v>
      </c>
      <c r="BA74" s="14">
        <v>1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8">
        <v>0</v>
      </c>
      <c r="BH74" s="7">
        <v>0</v>
      </c>
      <c r="BI74" s="17">
        <v>0</v>
      </c>
      <c r="BJ74" s="1">
        <v>1</v>
      </c>
      <c r="BK74" s="7">
        <v>167217</v>
      </c>
      <c r="BL74" s="8">
        <v>6</v>
      </c>
      <c r="BM74" s="7">
        <v>47955</v>
      </c>
      <c r="BN74" s="12">
        <v>0.28678304239401498</v>
      </c>
      <c r="BO74" s="7">
        <v>5705</v>
      </c>
      <c r="BP74" s="12">
        <v>3.4099999999999998E-2</v>
      </c>
      <c r="BQ74" s="1"/>
      <c r="BR74" s="1"/>
      <c r="BS74" s="1"/>
      <c r="BT74" s="1"/>
      <c r="BU74" s="1"/>
      <c r="BV74" s="1"/>
      <c r="BW74" s="1"/>
      <c r="BX74" s="1"/>
      <c r="BY74" s="1"/>
      <c r="BZ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</row>
    <row r="75" spans="1:110">
      <c r="A75" s="2" t="s">
        <v>336</v>
      </c>
      <c r="B75" s="1" t="s">
        <v>138</v>
      </c>
      <c r="C75" s="1" t="s">
        <v>351</v>
      </c>
      <c r="D75" s="8" t="s">
        <v>132</v>
      </c>
      <c r="E75" s="1"/>
      <c r="F75" s="2" t="s">
        <v>280</v>
      </c>
      <c r="G75" s="1" t="s">
        <v>125</v>
      </c>
      <c r="H75" s="4"/>
      <c r="I75" s="3"/>
      <c r="J75" s="1"/>
      <c r="K75" s="3"/>
      <c r="L75" s="13"/>
      <c r="M75" s="18"/>
      <c r="N75" s="18"/>
      <c r="O75" s="18"/>
      <c r="P75" s="18"/>
      <c r="Q75" s="18"/>
      <c r="R75" s="18"/>
      <c r="S75" s="18"/>
      <c r="T75" s="18"/>
      <c r="U75" s="3"/>
      <c r="V75" s="17"/>
      <c r="W75" s="4"/>
      <c r="X75" s="3"/>
      <c r="Y75" s="1"/>
      <c r="Z75" s="3"/>
      <c r="AA75" s="13"/>
      <c r="AB75" s="3"/>
      <c r="AC75" s="12"/>
      <c r="AD75" s="14"/>
      <c r="AE75" s="14"/>
      <c r="AF75" s="14"/>
      <c r="AG75" s="14"/>
      <c r="AH75" s="14"/>
      <c r="AI75" s="14"/>
      <c r="AJ75" s="14"/>
      <c r="AK75" s="18"/>
      <c r="AL75" s="3"/>
      <c r="AM75" s="17"/>
      <c r="AN75" s="1"/>
      <c r="AO75" s="3"/>
      <c r="AP75" s="1"/>
      <c r="AQ75" s="3"/>
      <c r="AR75" s="13"/>
      <c r="AS75" s="4">
        <v>1</v>
      </c>
      <c r="AT75" s="3">
        <v>55984</v>
      </c>
      <c r="AU75" s="1">
        <v>2</v>
      </c>
      <c r="AV75" s="3">
        <v>14005</v>
      </c>
      <c r="AW75" s="13">
        <v>0.2501607602172049</v>
      </c>
      <c r="AX75" s="3">
        <v>8440</v>
      </c>
      <c r="AY75" s="12">
        <v>0.15075735924549871</v>
      </c>
      <c r="AZ75" s="14">
        <v>0</v>
      </c>
      <c r="BA75" s="14">
        <v>0</v>
      </c>
      <c r="BB75" s="14">
        <v>2</v>
      </c>
      <c r="BC75" s="14">
        <v>0</v>
      </c>
      <c r="BD75" s="14">
        <v>0</v>
      </c>
      <c r="BE75" s="14">
        <v>0</v>
      </c>
      <c r="BF75" s="14">
        <v>0</v>
      </c>
      <c r="BG75" s="18">
        <v>0</v>
      </c>
      <c r="BH75" s="3">
        <v>0</v>
      </c>
      <c r="BI75" s="17">
        <v>0</v>
      </c>
      <c r="BJ75" s="1">
        <v>1</v>
      </c>
      <c r="BK75" s="3">
        <v>55984</v>
      </c>
      <c r="BL75" s="1">
        <v>2</v>
      </c>
      <c r="BM75" s="3">
        <v>12895</v>
      </c>
      <c r="BN75" s="13">
        <v>0.23033366676193198</v>
      </c>
      <c r="BO75" s="3">
        <v>6255</v>
      </c>
      <c r="BP75" s="12">
        <v>0.11169999999999999</v>
      </c>
      <c r="BQ75" s="1"/>
      <c r="BR75" s="1"/>
      <c r="BS75" s="1"/>
      <c r="BT75" s="1"/>
      <c r="BU75" s="1"/>
      <c r="BV75" s="1"/>
      <c r="BW75" s="1"/>
      <c r="BX75" s="1"/>
      <c r="BY75" s="1"/>
      <c r="BZ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</row>
    <row r="76" spans="1:110">
      <c r="A76" s="2" t="s">
        <v>336</v>
      </c>
      <c r="B76" s="1" t="s">
        <v>138</v>
      </c>
      <c r="C76" s="1" t="s">
        <v>351</v>
      </c>
      <c r="D76" s="8" t="s">
        <v>132</v>
      </c>
      <c r="E76" s="1"/>
      <c r="F76" s="2" t="s">
        <v>281</v>
      </c>
      <c r="G76" s="1" t="s">
        <v>126</v>
      </c>
      <c r="H76" s="4"/>
      <c r="I76" s="3"/>
      <c r="J76" s="1"/>
      <c r="K76" s="1"/>
      <c r="L76" s="13"/>
      <c r="M76" s="18"/>
      <c r="N76" s="18"/>
      <c r="O76" s="18"/>
      <c r="P76" s="18"/>
      <c r="Q76" s="18"/>
      <c r="R76" s="18"/>
      <c r="S76" s="18"/>
      <c r="T76" s="18"/>
      <c r="U76" s="1"/>
      <c r="V76" s="17"/>
      <c r="W76" s="4"/>
      <c r="X76" s="3"/>
      <c r="Y76" s="1"/>
      <c r="Z76" s="1"/>
      <c r="AA76" s="13"/>
      <c r="AB76" s="1"/>
      <c r="AC76" s="12"/>
      <c r="AD76" s="14"/>
      <c r="AE76" s="14"/>
      <c r="AF76" s="14"/>
      <c r="AG76" s="14"/>
      <c r="AH76" s="14"/>
      <c r="AI76" s="14"/>
      <c r="AJ76" s="14"/>
      <c r="AK76" s="18"/>
      <c r="AL76" s="1"/>
      <c r="AM76" s="17"/>
      <c r="AN76" s="1"/>
      <c r="AO76" s="3"/>
      <c r="AP76" s="1"/>
      <c r="AQ76" s="1"/>
      <c r="AR76" s="13"/>
      <c r="AS76" s="4">
        <v>1</v>
      </c>
      <c r="AT76" s="3">
        <v>53786</v>
      </c>
      <c r="AU76" s="1">
        <v>0</v>
      </c>
      <c r="AV76" s="1">
        <v>0</v>
      </c>
      <c r="AW76" s="13">
        <v>0</v>
      </c>
      <c r="AX76" s="1">
        <v>4435</v>
      </c>
      <c r="AY76" s="12">
        <v>8.2456401294017032E-2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8">
        <v>0</v>
      </c>
      <c r="BH76" s="1">
        <v>0</v>
      </c>
      <c r="BI76" s="17">
        <v>0</v>
      </c>
      <c r="BJ76" s="1">
        <v>1</v>
      </c>
      <c r="BK76" s="3">
        <v>53786</v>
      </c>
      <c r="BL76" s="1">
        <v>5</v>
      </c>
      <c r="BM76" s="1">
        <v>28495</v>
      </c>
      <c r="BN76" s="13">
        <v>0.52978470233889863</v>
      </c>
      <c r="BO76" s="1">
        <v>6195</v>
      </c>
      <c r="BP76" s="12">
        <v>0.1152</v>
      </c>
      <c r="BQ76" s="1"/>
      <c r="BR76" s="1"/>
      <c r="BS76" s="1"/>
      <c r="BT76" s="1"/>
      <c r="BU76" s="1"/>
      <c r="BV76" s="1"/>
      <c r="BW76" s="1"/>
      <c r="BX76" s="1"/>
      <c r="BY76" s="1"/>
      <c r="BZ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</row>
    <row r="77" spans="1:110">
      <c r="A77" s="2" t="s">
        <v>336</v>
      </c>
      <c r="B77" s="1" t="s">
        <v>138</v>
      </c>
      <c r="C77" s="1" t="s">
        <v>351</v>
      </c>
      <c r="D77" s="8" t="s">
        <v>132</v>
      </c>
      <c r="E77" s="1"/>
      <c r="F77" s="2" t="s">
        <v>282</v>
      </c>
      <c r="G77" s="1" t="s">
        <v>127</v>
      </c>
      <c r="H77" s="4"/>
      <c r="I77" s="3"/>
      <c r="J77" s="1"/>
      <c r="K77" s="3"/>
      <c r="L77" s="13"/>
      <c r="M77" s="18"/>
      <c r="N77" s="18"/>
      <c r="O77" s="18"/>
      <c r="P77" s="18"/>
      <c r="Q77" s="18"/>
      <c r="R77" s="18"/>
      <c r="S77" s="18"/>
      <c r="T77" s="18"/>
      <c r="U77" s="3"/>
      <c r="V77" s="17"/>
      <c r="W77" s="4">
        <v>1</v>
      </c>
      <c r="X77" s="3">
        <v>47001</v>
      </c>
      <c r="Y77" s="1">
        <v>0</v>
      </c>
      <c r="Z77" s="3">
        <v>0</v>
      </c>
      <c r="AA77" s="13">
        <v>0</v>
      </c>
      <c r="AB77" s="3">
        <v>2451</v>
      </c>
      <c r="AC77" s="12">
        <v>5.214782664198634E-2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18">
        <v>0</v>
      </c>
      <c r="AL77" s="3">
        <v>0</v>
      </c>
      <c r="AM77" s="17">
        <v>0</v>
      </c>
      <c r="AN77" s="4">
        <v>1</v>
      </c>
      <c r="AO77" s="3">
        <v>52083</v>
      </c>
      <c r="AP77" s="1">
        <v>2</v>
      </c>
      <c r="AQ77" s="3">
        <v>13357</v>
      </c>
      <c r="AR77" s="13">
        <v>0.25650000000000001</v>
      </c>
      <c r="AS77" s="4">
        <v>1</v>
      </c>
      <c r="AT77" s="3">
        <v>60964</v>
      </c>
      <c r="AU77" s="1">
        <v>1</v>
      </c>
      <c r="AV77" s="3">
        <v>3530</v>
      </c>
      <c r="AW77" s="13">
        <v>5.7903024735909719E-2</v>
      </c>
      <c r="AX77" s="3">
        <v>5170</v>
      </c>
      <c r="AY77" s="12">
        <v>8.4804146709533498E-2</v>
      </c>
      <c r="AZ77" s="8">
        <v>1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18">
        <v>0</v>
      </c>
      <c r="BH77" s="3">
        <v>0</v>
      </c>
      <c r="BI77" s="17">
        <v>0</v>
      </c>
      <c r="BJ77" s="1">
        <v>1</v>
      </c>
      <c r="BK77" s="3">
        <v>60964</v>
      </c>
      <c r="BL77" s="1">
        <v>4</v>
      </c>
      <c r="BM77" s="3">
        <v>24210</v>
      </c>
      <c r="BN77" s="13">
        <v>0.39711961157404368</v>
      </c>
      <c r="BO77" s="3">
        <v>12895</v>
      </c>
      <c r="BP77" s="12">
        <v>0.21149999999999999</v>
      </c>
      <c r="BQ77" s="1"/>
      <c r="BR77" s="1"/>
      <c r="BS77" s="1"/>
      <c r="BT77" s="1"/>
      <c r="BU77" s="1"/>
      <c r="BV77" s="1"/>
      <c r="BW77" s="1"/>
      <c r="BX77" s="1"/>
      <c r="BY77" s="1"/>
      <c r="BZ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</row>
    <row r="78" spans="1:110">
      <c r="A78" s="10" t="s">
        <v>336</v>
      </c>
      <c r="B78" s="8" t="s">
        <v>138</v>
      </c>
      <c r="C78" s="8" t="s">
        <v>351</v>
      </c>
      <c r="D78" s="8" t="s">
        <v>132</v>
      </c>
      <c r="F78" s="10" t="s">
        <v>283</v>
      </c>
      <c r="G78" s="8" t="s">
        <v>128</v>
      </c>
      <c r="H78" s="4">
        <v>1</v>
      </c>
      <c r="I78" s="7">
        <v>73866</v>
      </c>
      <c r="J78" s="8">
        <v>0</v>
      </c>
      <c r="K78" s="7">
        <v>0</v>
      </c>
      <c r="L78" s="12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18">
        <f>SUM(Tabla2[[#This Row],[EST_BBVV91]:[ESTyPARyVIV_BBVV91]])</f>
        <v>0</v>
      </c>
      <c r="U78" s="7">
        <v>0</v>
      </c>
      <c r="V78" s="17">
        <v>0</v>
      </c>
      <c r="W78" s="4">
        <v>1</v>
      </c>
      <c r="X78" s="7">
        <v>77884</v>
      </c>
      <c r="Y78" s="8">
        <v>1</v>
      </c>
      <c r="Z78" s="7">
        <v>4343</v>
      </c>
      <c r="AA78" s="12">
        <v>5.576241590057008E-2</v>
      </c>
      <c r="AB78" s="7">
        <v>4121</v>
      </c>
      <c r="AC78" s="12">
        <v>5.2912023008576857E-2</v>
      </c>
      <c r="AD78" s="14">
        <v>1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8">
        <v>0</v>
      </c>
      <c r="AL78" s="7">
        <v>0</v>
      </c>
      <c r="AM78" s="17">
        <v>0</v>
      </c>
      <c r="AN78" s="4">
        <v>1</v>
      </c>
      <c r="AO78" s="7">
        <v>83233</v>
      </c>
      <c r="AP78" s="8">
        <v>2</v>
      </c>
      <c r="AQ78" s="7">
        <v>14223</v>
      </c>
      <c r="AR78" s="12">
        <v>0.1709</v>
      </c>
      <c r="AS78" s="4">
        <v>1</v>
      </c>
      <c r="AT78" s="7">
        <v>89155</v>
      </c>
      <c r="AU78" s="8">
        <v>1</v>
      </c>
      <c r="AV78" s="7">
        <v>5060</v>
      </c>
      <c r="AW78" s="12">
        <v>5.6755089450956198E-2</v>
      </c>
      <c r="AX78" s="7">
        <v>5155</v>
      </c>
      <c r="AY78" s="12">
        <v>5.7820649430766639E-2</v>
      </c>
      <c r="AZ78" s="14">
        <v>0</v>
      </c>
      <c r="BA78" s="14">
        <v>1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8">
        <v>0</v>
      </c>
      <c r="BH78" s="7">
        <v>0</v>
      </c>
      <c r="BI78" s="17">
        <v>0</v>
      </c>
      <c r="BJ78" s="1">
        <v>1</v>
      </c>
      <c r="BK78" s="7">
        <v>89155</v>
      </c>
      <c r="BL78" s="8">
        <v>6</v>
      </c>
      <c r="BM78" s="7">
        <v>48690</v>
      </c>
      <c r="BN78" s="12">
        <v>0.54612753070495201</v>
      </c>
      <c r="BO78" s="7">
        <v>6295</v>
      </c>
      <c r="BP78" s="12">
        <v>7.0599999999999996E-2</v>
      </c>
      <c r="BQ78" s="1"/>
      <c r="BR78" s="1"/>
      <c r="BS78" s="1"/>
      <c r="BT78" s="1"/>
      <c r="BU78" s="1"/>
      <c r="BV78" s="1"/>
      <c r="BW78" s="1"/>
      <c r="BX78" s="1"/>
      <c r="BY78" s="1"/>
      <c r="BZ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</row>
    <row r="79" spans="1:110">
      <c r="A79" s="10" t="s">
        <v>336</v>
      </c>
      <c r="B79" s="8" t="s">
        <v>138</v>
      </c>
      <c r="C79" s="8" t="s">
        <v>351</v>
      </c>
      <c r="D79" s="8" t="s">
        <v>132</v>
      </c>
      <c r="F79" s="10" t="s">
        <v>284</v>
      </c>
      <c r="G79" s="8" t="s">
        <v>129</v>
      </c>
      <c r="H79" s="4">
        <v>1</v>
      </c>
      <c r="I79" s="7">
        <v>144723</v>
      </c>
      <c r="J79" s="8">
        <v>0</v>
      </c>
      <c r="K79" s="7">
        <v>0</v>
      </c>
      <c r="L79" s="12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18">
        <f>SUM(Tabla2[[#This Row],[EST_BBVV91]:[ESTyPARyVIV_BBVV91]])</f>
        <v>0</v>
      </c>
      <c r="U79" s="7">
        <v>0</v>
      </c>
      <c r="V79" s="17">
        <v>0</v>
      </c>
      <c r="W79" s="4">
        <v>1</v>
      </c>
      <c r="X79" s="7">
        <v>182705</v>
      </c>
      <c r="Y79" s="8">
        <v>1</v>
      </c>
      <c r="Z79" s="7">
        <v>11231</v>
      </c>
      <c r="AA79" s="12">
        <v>6.1470676774034644E-2</v>
      </c>
      <c r="AB79" s="7">
        <v>4954</v>
      </c>
      <c r="AC79" s="12">
        <v>2.7114747817520046E-2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1</v>
      </c>
      <c r="AJ79" s="14">
        <v>0</v>
      </c>
      <c r="AK79" s="18">
        <v>0</v>
      </c>
      <c r="AL79" s="7">
        <v>0</v>
      </c>
      <c r="AM79" s="17">
        <v>0</v>
      </c>
      <c r="AN79" s="4">
        <v>1</v>
      </c>
      <c r="AO79" s="7">
        <v>193715</v>
      </c>
      <c r="AP79" s="8">
        <v>1</v>
      </c>
      <c r="AQ79" s="7">
        <v>7023</v>
      </c>
      <c r="AR79" s="12">
        <v>3.6299999999999999E-2</v>
      </c>
      <c r="AS79" s="4">
        <v>1</v>
      </c>
      <c r="AT79" s="7">
        <v>196986</v>
      </c>
      <c r="AU79" s="8">
        <v>3</v>
      </c>
      <c r="AV79" s="7">
        <v>18460</v>
      </c>
      <c r="AW79" s="12">
        <v>9.371224350969104E-2</v>
      </c>
      <c r="AX79" s="7">
        <v>11435</v>
      </c>
      <c r="AY79" s="12">
        <v>5.8049810646441879E-2</v>
      </c>
      <c r="AZ79" s="14">
        <v>2</v>
      </c>
      <c r="BA79" s="14">
        <v>1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8">
        <v>0</v>
      </c>
      <c r="BH79" s="7">
        <v>0</v>
      </c>
      <c r="BI79" s="17">
        <v>0</v>
      </c>
      <c r="BJ79" s="1">
        <v>1</v>
      </c>
      <c r="BK79" s="7">
        <v>196986</v>
      </c>
      <c r="BL79" s="8">
        <v>10</v>
      </c>
      <c r="BM79" s="7">
        <v>60345</v>
      </c>
      <c r="BN79" s="12">
        <v>0.30634156742103502</v>
      </c>
      <c r="BO79" s="7">
        <v>3465</v>
      </c>
      <c r="BP79" s="12">
        <v>1.7600000000000001E-2</v>
      </c>
      <c r="BQ79" s="1"/>
      <c r="BR79" s="1"/>
      <c r="BS79" s="1"/>
      <c r="BT79" s="1"/>
      <c r="BU79" s="1"/>
      <c r="BV79" s="1"/>
      <c r="BW79" s="1"/>
      <c r="BX79" s="1"/>
      <c r="BY79" s="1"/>
      <c r="BZ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</row>
    <row r="80" spans="1:110">
      <c r="A80" s="10" t="s">
        <v>336</v>
      </c>
      <c r="B80" s="8" t="s">
        <v>138</v>
      </c>
      <c r="C80" s="8" t="s">
        <v>351</v>
      </c>
      <c r="D80" s="8" t="s">
        <v>132</v>
      </c>
      <c r="F80" s="10" t="s">
        <v>285</v>
      </c>
      <c r="G80" s="8" t="s">
        <v>130</v>
      </c>
      <c r="H80" s="4">
        <v>1</v>
      </c>
      <c r="I80" s="7">
        <v>139190</v>
      </c>
      <c r="J80" s="8">
        <v>0</v>
      </c>
      <c r="K80" s="7">
        <v>0</v>
      </c>
      <c r="L80" s="12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18">
        <f>SUM(Tabla2[[#This Row],[EST_BBVV91]:[ESTyPARyVIV_BBVV91]])</f>
        <v>0</v>
      </c>
      <c r="U80" s="7">
        <v>0</v>
      </c>
      <c r="V80" s="17">
        <v>0</v>
      </c>
      <c r="W80" s="4">
        <v>1</v>
      </c>
      <c r="X80" s="7">
        <v>151479</v>
      </c>
      <c r="Y80" s="8">
        <v>2</v>
      </c>
      <c r="Z80" s="7">
        <v>8521</v>
      </c>
      <c r="AA80" s="12">
        <v>5.6252021732385346E-2</v>
      </c>
      <c r="AB80" s="7">
        <v>6667</v>
      </c>
      <c r="AC80" s="12">
        <v>4.4012701430561331E-2</v>
      </c>
      <c r="AD80" s="14">
        <v>1</v>
      </c>
      <c r="AE80" s="14">
        <v>0</v>
      </c>
      <c r="AF80" s="14">
        <v>0</v>
      </c>
      <c r="AG80" s="14">
        <v>0</v>
      </c>
      <c r="AH80" s="14">
        <v>0</v>
      </c>
      <c r="AI80" s="14">
        <v>1</v>
      </c>
      <c r="AJ80" s="14">
        <v>0</v>
      </c>
      <c r="AK80" s="18">
        <v>0</v>
      </c>
      <c r="AL80" s="7">
        <v>0</v>
      </c>
      <c r="AM80" s="17">
        <v>0</v>
      </c>
      <c r="AN80" s="4">
        <v>1</v>
      </c>
      <c r="AO80" s="7">
        <v>156320</v>
      </c>
      <c r="AP80" s="8">
        <v>1</v>
      </c>
      <c r="AQ80" s="7">
        <v>6313</v>
      </c>
      <c r="AR80" s="12">
        <v>4.0399999999999998E-2</v>
      </c>
      <c r="AS80" s="4">
        <v>1</v>
      </c>
      <c r="AT80" s="7">
        <v>168642</v>
      </c>
      <c r="AU80" s="8">
        <v>5</v>
      </c>
      <c r="AV80" s="7">
        <v>33625</v>
      </c>
      <c r="AW80" s="12">
        <v>0.19938686685404586</v>
      </c>
      <c r="AX80" s="7">
        <v>18495</v>
      </c>
      <c r="AY80" s="12">
        <v>0.10967018892090938</v>
      </c>
      <c r="AZ80" s="14">
        <v>3</v>
      </c>
      <c r="BA80" s="14">
        <v>0</v>
      </c>
      <c r="BB80" s="14">
        <v>1</v>
      </c>
      <c r="BC80" s="14">
        <v>0</v>
      </c>
      <c r="BD80" s="14">
        <v>0</v>
      </c>
      <c r="BE80" s="14">
        <v>1</v>
      </c>
      <c r="BF80" s="14">
        <v>0</v>
      </c>
      <c r="BG80" s="18">
        <v>1</v>
      </c>
      <c r="BH80" s="7">
        <v>4640</v>
      </c>
      <c r="BI80" s="17">
        <v>2.7513905195621493E-2</v>
      </c>
      <c r="BJ80" s="1">
        <v>1</v>
      </c>
      <c r="BK80" s="7">
        <v>168642</v>
      </c>
      <c r="BL80" s="8">
        <v>6</v>
      </c>
      <c r="BM80" s="7">
        <v>65855</v>
      </c>
      <c r="BN80" s="12">
        <v>0.39050177298656324</v>
      </c>
      <c r="BO80" s="7">
        <v>1175</v>
      </c>
      <c r="BP80" s="12">
        <v>7.0000000000000001E-3</v>
      </c>
      <c r="BQ80" s="1"/>
      <c r="BR80" s="1"/>
      <c r="BS80" s="1"/>
      <c r="BT80" s="1"/>
      <c r="BU80" s="1"/>
      <c r="BV80" s="1"/>
      <c r="BW80" s="1"/>
      <c r="BX80" s="1"/>
      <c r="BY80" s="1"/>
      <c r="BZ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spans="1:110">
      <c r="A81" s="10" t="s">
        <v>336</v>
      </c>
      <c r="B81" s="8" t="s">
        <v>138</v>
      </c>
      <c r="C81" s="8" t="s">
        <v>351</v>
      </c>
      <c r="D81" s="8" t="s">
        <v>132</v>
      </c>
      <c r="F81" s="10" t="s">
        <v>286</v>
      </c>
      <c r="G81" s="8" t="s">
        <v>131</v>
      </c>
      <c r="H81" s="4">
        <v>1</v>
      </c>
      <c r="I81" s="7">
        <v>171589</v>
      </c>
      <c r="J81" s="8">
        <v>0</v>
      </c>
      <c r="K81" s="7">
        <v>0</v>
      </c>
      <c r="L81" s="12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18">
        <f>SUM(Tabla2[[#This Row],[EST_BBVV91]:[ESTyPARyVIV_BBVV91]])</f>
        <v>0</v>
      </c>
      <c r="U81" s="7">
        <v>0</v>
      </c>
      <c r="V81" s="17">
        <v>0</v>
      </c>
      <c r="W81" s="4">
        <v>1</v>
      </c>
      <c r="X81" s="7">
        <v>173584</v>
      </c>
      <c r="Y81" s="8">
        <v>6</v>
      </c>
      <c r="Z81" s="7">
        <v>50115</v>
      </c>
      <c r="AA81" s="12">
        <v>0.28870748456078904</v>
      </c>
      <c r="AB81" s="7">
        <v>11358</v>
      </c>
      <c r="AC81" s="12">
        <v>6.5432297907641254E-2</v>
      </c>
      <c r="AD81" s="14">
        <v>4</v>
      </c>
      <c r="AE81" s="14">
        <v>0</v>
      </c>
      <c r="AF81" s="14">
        <v>0</v>
      </c>
      <c r="AG81" s="14">
        <v>0</v>
      </c>
      <c r="AH81" s="14">
        <v>0</v>
      </c>
      <c r="AI81" s="14">
        <v>2</v>
      </c>
      <c r="AJ81" s="14">
        <v>0</v>
      </c>
      <c r="AK81" s="18">
        <v>0</v>
      </c>
      <c r="AL81" s="7">
        <v>0</v>
      </c>
      <c r="AM81" s="17">
        <v>0</v>
      </c>
      <c r="AN81" s="4">
        <v>1</v>
      </c>
      <c r="AO81" s="7">
        <v>182471</v>
      </c>
      <c r="AP81" s="8">
        <v>1</v>
      </c>
      <c r="AQ81" s="7">
        <v>4843</v>
      </c>
      <c r="AR81" s="12">
        <v>2.6499999999999999E-2</v>
      </c>
      <c r="AS81" s="4">
        <v>1</v>
      </c>
      <c r="AT81" s="7">
        <v>185758</v>
      </c>
      <c r="AU81" s="8">
        <v>10</v>
      </c>
      <c r="AV81" s="7">
        <v>86640</v>
      </c>
      <c r="AW81" s="12">
        <v>0.46641329041010349</v>
      </c>
      <c r="AX81" s="7">
        <v>8535</v>
      </c>
      <c r="AY81" s="12">
        <v>4.5946877119693363E-2</v>
      </c>
      <c r="AZ81" s="14">
        <v>10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8">
        <v>0</v>
      </c>
      <c r="BH81" s="7">
        <v>0</v>
      </c>
      <c r="BI81" s="17">
        <v>0</v>
      </c>
      <c r="BJ81" s="1">
        <v>1</v>
      </c>
      <c r="BK81" s="7">
        <v>185758</v>
      </c>
      <c r="BL81" s="8">
        <v>8</v>
      </c>
      <c r="BM81" s="7">
        <v>52130</v>
      </c>
      <c r="BN81" s="12">
        <v>0.28063394308724254</v>
      </c>
      <c r="BO81" s="7">
        <v>5130</v>
      </c>
      <c r="BP81" s="12">
        <v>2.76E-2</v>
      </c>
      <c r="BQ81" s="1"/>
      <c r="BR81" s="1"/>
      <c r="BS81" s="1"/>
      <c r="BT81" s="1"/>
      <c r="BU81" s="1"/>
      <c r="BV81" s="1"/>
      <c r="BW81" s="1"/>
      <c r="BX81" s="1"/>
      <c r="BY81" s="1"/>
      <c r="BZ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</row>
    <row r="82" spans="1:110">
      <c r="A82" s="10" t="s">
        <v>336</v>
      </c>
      <c r="B82" s="8" t="s">
        <v>138</v>
      </c>
      <c r="C82" s="8" t="s">
        <v>351</v>
      </c>
      <c r="D82" s="8" t="s">
        <v>132</v>
      </c>
      <c r="E82" s="8">
        <v>1</v>
      </c>
      <c r="F82" s="10" t="s">
        <v>287</v>
      </c>
      <c r="G82" s="8" t="s">
        <v>132</v>
      </c>
      <c r="H82" s="4">
        <v>1</v>
      </c>
      <c r="I82" s="7">
        <v>3010492</v>
      </c>
      <c r="J82" s="8">
        <v>23</v>
      </c>
      <c r="K82" s="7">
        <v>183531</v>
      </c>
      <c r="L82" s="12">
        <v>6.0999999999999999E-2</v>
      </c>
      <c r="M82" s="18">
        <v>7</v>
      </c>
      <c r="N82" s="18">
        <v>0</v>
      </c>
      <c r="O82" s="18">
        <v>15</v>
      </c>
      <c r="P82" s="18">
        <v>0</v>
      </c>
      <c r="Q82" s="18">
        <v>0</v>
      </c>
      <c r="R82" s="18">
        <v>0</v>
      </c>
      <c r="S82" s="18">
        <v>1</v>
      </c>
      <c r="T82" s="18">
        <v>1</v>
      </c>
      <c r="U82" s="7">
        <v>4869</v>
      </c>
      <c r="V82" s="17">
        <v>1.6173436102803131E-3</v>
      </c>
      <c r="W82" s="4">
        <v>1</v>
      </c>
      <c r="X82" s="7">
        <v>2938723</v>
      </c>
      <c r="Y82" s="8">
        <v>78</v>
      </c>
      <c r="Z82" s="7">
        <v>600181</v>
      </c>
      <c r="AA82" s="12">
        <v>0.20423190617149015</v>
      </c>
      <c r="AB82" s="7">
        <v>159387</v>
      </c>
      <c r="AC82" s="12">
        <v>5.4236823273238068E-2</v>
      </c>
      <c r="AD82" s="14">
        <v>32</v>
      </c>
      <c r="AE82" s="14">
        <v>0</v>
      </c>
      <c r="AF82" s="14">
        <v>35</v>
      </c>
      <c r="AG82" s="14">
        <v>3</v>
      </c>
      <c r="AH82" s="14">
        <v>0</v>
      </c>
      <c r="AI82" s="14">
        <v>8</v>
      </c>
      <c r="AJ82" s="14">
        <v>0</v>
      </c>
      <c r="AK82" s="18">
        <v>0</v>
      </c>
      <c r="AL82" s="7">
        <v>0</v>
      </c>
      <c r="AM82" s="17">
        <v>0</v>
      </c>
      <c r="AN82" s="4">
        <v>1</v>
      </c>
      <c r="AO82" s="7">
        <v>3128600</v>
      </c>
      <c r="AP82" s="8">
        <v>72</v>
      </c>
      <c r="AQ82" s="7">
        <v>632682</v>
      </c>
      <c r="AR82" s="12">
        <v>0.20219999999999999</v>
      </c>
      <c r="AS82" s="4">
        <v>1</v>
      </c>
      <c r="AT82" s="7">
        <v>3198645</v>
      </c>
      <c r="AU82" s="8">
        <v>91</v>
      </c>
      <c r="AV82" s="7">
        <v>720000</v>
      </c>
      <c r="AW82" s="12">
        <v>0.2250953137969359</v>
      </c>
      <c r="AX82" s="7">
        <v>134210</v>
      </c>
      <c r="AY82" s="12">
        <v>4.1958391756509394E-2</v>
      </c>
      <c r="AZ82" s="14">
        <v>50</v>
      </c>
      <c r="BA82" s="14">
        <v>2</v>
      </c>
      <c r="BB82" s="14">
        <v>30</v>
      </c>
      <c r="BC82" s="14">
        <v>0</v>
      </c>
      <c r="BD82" s="14">
        <v>2</v>
      </c>
      <c r="BE82" s="14">
        <v>7</v>
      </c>
      <c r="BF82" s="14">
        <v>0</v>
      </c>
      <c r="BG82" s="18">
        <v>2</v>
      </c>
      <c r="BH82" s="7">
        <v>18885</v>
      </c>
      <c r="BI82" s="17">
        <v>5.9040625014654645E-3</v>
      </c>
      <c r="BJ82" s="1">
        <v>1</v>
      </c>
      <c r="BK82" s="7">
        <v>3198645</v>
      </c>
      <c r="BL82" s="8">
        <v>140</v>
      </c>
      <c r="BM82" s="7">
        <v>1165190</v>
      </c>
      <c r="BN82" s="12">
        <v>0.36427612317090519</v>
      </c>
      <c r="BO82" s="7">
        <v>139250</v>
      </c>
      <c r="BP82" s="12">
        <v>4.3499999999999997E-2</v>
      </c>
      <c r="BQ82" s="1"/>
      <c r="BR82" s="1"/>
      <c r="BS82" s="1"/>
      <c r="BT82" s="1"/>
      <c r="BU82" s="1"/>
      <c r="BV82" s="1"/>
      <c r="BW82" s="1"/>
      <c r="BX82" s="1"/>
      <c r="BY82" s="1"/>
      <c r="BZ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</row>
    <row r="83" spans="1:110">
      <c r="A83" s="2" t="s">
        <v>336</v>
      </c>
      <c r="B83" s="1" t="s">
        <v>138</v>
      </c>
      <c r="C83" s="1" t="s">
        <v>351</v>
      </c>
      <c r="D83" s="8" t="s">
        <v>132</v>
      </c>
      <c r="E83" s="1"/>
      <c r="F83" s="2" t="s">
        <v>288</v>
      </c>
      <c r="G83" s="1" t="s">
        <v>133</v>
      </c>
      <c r="H83" s="4"/>
      <c r="I83" s="3"/>
      <c r="J83" s="1"/>
      <c r="K83" s="1"/>
      <c r="L83" s="13"/>
      <c r="M83" s="18"/>
      <c r="N83" s="18"/>
      <c r="O83" s="18"/>
      <c r="P83" s="18"/>
      <c r="Q83" s="18"/>
      <c r="R83" s="18"/>
      <c r="S83" s="18"/>
      <c r="T83" s="18"/>
      <c r="U83" s="1"/>
      <c r="V83" s="17"/>
      <c r="W83" s="4">
        <v>1</v>
      </c>
      <c r="X83" s="3">
        <v>50683</v>
      </c>
      <c r="Y83" s="1">
        <v>0</v>
      </c>
      <c r="Z83" s="1">
        <v>0</v>
      </c>
      <c r="AA83" s="13">
        <v>0</v>
      </c>
      <c r="AB83" s="1">
        <v>1753</v>
      </c>
      <c r="AC83" s="12">
        <v>3.4587534281711817E-2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18">
        <v>0</v>
      </c>
      <c r="AL83" s="1">
        <v>0</v>
      </c>
      <c r="AM83" s="17">
        <v>0</v>
      </c>
      <c r="AN83" s="4">
        <v>1</v>
      </c>
      <c r="AO83" s="3">
        <v>62270</v>
      </c>
      <c r="AP83" s="1">
        <v>1</v>
      </c>
      <c r="AQ83" s="1">
        <v>10931</v>
      </c>
      <c r="AR83" s="13">
        <v>0.17549999999999999</v>
      </c>
      <c r="AS83" s="4">
        <v>1</v>
      </c>
      <c r="AT83" s="3">
        <v>69587</v>
      </c>
      <c r="AU83" s="1">
        <v>0</v>
      </c>
      <c r="AV83" s="1">
        <v>0</v>
      </c>
      <c r="AW83" s="13">
        <v>0</v>
      </c>
      <c r="AX83" s="1">
        <v>3215</v>
      </c>
      <c r="AY83" s="12">
        <v>4.620115826231911E-2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18">
        <v>0</v>
      </c>
      <c r="BH83" s="1">
        <v>0</v>
      </c>
      <c r="BI83" s="17">
        <v>0</v>
      </c>
      <c r="BJ83" s="1">
        <v>1</v>
      </c>
      <c r="BK83" s="3">
        <v>69587</v>
      </c>
      <c r="BL83" s="1">
        <v>3</v>
      </c>
      <c r="BM83" s="1">
        <v>21920</v>
      </c>
      <c r="BN83" s="13">
        <v>0.31500136519752253</v>
      </c>
      <c r="BO83" s="1">
        <v>0</v>
      </c>
      <c r="BP83" s="12">
        <v>0</v>
      </c>
      <c r="BQ83" s="1"/>
      <c r="BR83" s="1"/>
      <c r="BS83" s="1"/>
      <c r="BT83" s="1"/>
      <c r="BU83" s="1"/>
      <c r="BV83" s="1"/>
      <c r="BW83" s="1"/>
      <c r="BX83" s="1"/>
      <c r="BY83" s="1"/>
      <c r="BZ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</row>
    <row r="84" spans="1:110">
      <c r="A84" s="10" t="s">
        <v>336</v>
      </c>
      <c r="B84" s="8" t="s">
        <v>138</v>
      </c>
      <c r="C84" s="8" t="s">
        <v>351</v>
      </c>
      <c r="D84" s="8" t="s">
        <v>132</v>
      </c>
      <c r="F84" s="10" t="s">
        <v>290</v>
      </c>
      <c r="G84" s="8" t="s">
        <v>134</v>
      </c>
      <c r="H84" s="4">
        <v>1</v>
      </c>
      <c r="I84" s="7">
        <v>192018</v>
      </c>
      <c r="J84" s="8">
        <v>0</v>
      </c>
      <c r="K84" s="7">
        <v>0</v>
      </c>
      <c r="L84" s="12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18">
        <f>SUM(Tabla2[[#This Row],[EST_BBVV91]:[ESTyPARyVIV_BBVV91]])</f>
        <v>0</v>
      </c>
      <c r="U84" s="7">
        <v>0</v>
      </c>
      <c r="V84" s="17">
        <v>0</v>
      </c>
      <c r="W84" s="4">
        <v>1</v>
      </c>
      <c r="X84" s="7">
        <v>196524</v>
      </c>
      <c r="Y84" s="8">
        <v>4</v>
      </c>
      <c r="Z84" s="7">
        <v>27193</v>
      </c>
      <c r="AA84" s="12">
        <v>0.13836986831124951</v>
      </c>
      <c r="AB84" s="7">
        <v>11829</v>
      </c>
      <c r="AC84" s="12">
        <v>6.0191121695060149E-2</v>
      </c>
      <c r="AD84" s="14">
        <v>1</v>
      </c>
      <c r="AE84" s="14">
        <v>0</v>
      </c>
      <c r="AF84" s="14">
        <v>3</v>
      </c>
      <c r="AG84" s="14">
        <v>0</v>
      </c>
      <c r="AH84" s="14">
        <v>0</v>
      </c>
      <c r="AI84" s="14">
        <v>0</v>
      </c>
      <c r="AJ84" s="14">
        <v>0</v>
      </c>
      <c r="AK84" s="18">
        <v>0</v>
      </c>
      <c r="AL84" s="7">
        <v>0</v>
      </c>
      <c r="AM84" s="17">
        <v>0</v>
      </c>
      <c r="AN84" s="4">
        <v>1</v>
      </c>
      <c r="AO84" s="7">
        <v>206301</v>
      </c>
      <c r="AP84" s="8">
        <v>2</v>
      </c>
      <c r="AQ84" s="7">
        <v>14805</v>
      </c>
      <c r="AR84" s="12">
        <v>7.1800000000000003E-2</v>
      </c>
      <c r="AS84" s="4">
        <v>1</v>
      </c>
      <c r="AT84" s="7">
        <v>203493</v>
      </c>
      <c r="AU84" s="8">
        <v>5</v>
      </c>
      <c r="AV84" s="7">
        <v>37120</v>
      </c>
      <c r="AW84" s="12">
        <v>0.1824141370956249</v>
      </c>
      <c r="AX84" s="7">
        <v>13925</v>
      </c>
      <c r="AY84" s="12">
        <v>6.8429872280618989E-2</v>
      </c>
      <c r="AZ84" s="14">
        <v>3</v>
      </c>
      <c r="BA84" s="14">
        <v>1</v>
      </c>
      <c r="BB84" s="14">
        <v>1</v>
      </c>
      <c r="BC84" s="14">
        <v>0</v>
      </c>
      <c r="BD84" s="14">
        <v>0</v>
      </c>
      <c r="BE84" s="14">
        <v>0</v>
      </c>
      <c r="BF84" s="14">
        <v>0</v>
      </c>
      <c r="BG84" s="18">
        <v>0</v>
      </c>
      <c r="BH84" s="7">
        <v>0</v>
      </c>
      <c r="BI84" s="17">
        <v>0</v>
      </c>
      <c r="BJ84" s="1">
        <v>1</v>
      </c>
      <c r="BK84" s="7">
        <v>203493</v>
      </c>
      <c r="BL84" s="8">
        <v>8</v>
      </c>
      <c r="BM84" s="7">
        <v>70590</v>
      </c>
      <c r="BN84" s="12">
        <v>0.34689153926670696</v>
      </c>
      <c r="BO84" s="7">
        <v>14240</v>
      </c>
      <c r="BP84" s="12">
        <v>7.0000000000000007E-2</v>
      </c>
      <c r="BQ84" s="1"/>
      <c r="BR84" s="1"/>
      <c r="BS84" s="1"/>
      <c r="BT84" s="1"/>
      <c r="BU84" s="1"/>
      <c r="BV84" s="1"/>
      <c r="BW84" s="1"/>
      <c r="BX84" s="1"/>
      <c r="BY84" s="1"/>
      <c r="BZ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</row>
    <row r="85" spans="1:110">
      <c r="A85" s="10" t="s">
        <v>336</v>
      </c>
      <c r="B85" s="8" t="s">
        <v>138</v>
      </c>
      <c r="C85" s="8" t="s">
        <v>351</v>
      </c>
      <c r="D85" s="8" t="s">
        <v>132</v>
      </c>
      <c r="F85" s="10" t="s">
        <v>291</v>
      </c>
      <c r="G85" s="8" t="s">
        <v>139</v>
      </c>
      <c r="H85" s="4">
        <v>1</v>
      </c>
      <c r="I85" s="7">
        <v>69907</v>
      </c>
      <c r="J85" s="8">
        <v>0</v>
      </c>
      <c r="K85" s="7">
        <v>0</v>
      </c>
      <c r="L85" s="12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18">
        <f>SUM(Tabla2[[#This Row],[EST_BBVV91]:[ESTyPARyVIV_BBVV91]])</f>
        <v>0</v>
      </c>
      <c r="U85" s="7">
        <v>0</v>
      </c>
      <c r="V85" s="17">
        <v>0</v>
      </c>
      <c r="W85" s="4">
        <v>1</v>
      </c>
      <c r="X85" s="7">
        <v>79213</v>
      </c>
      <c r="Y85" s="8">
        <v>2</v>
      </c>
      <c r="Z85" s="7">
        <v>11214</v>
      </c>
      <c r="AA85" s="12">
        <v>0.14156767197303474</v>
      </c>
      <c r="AB85" s="7">
        <v>6931</v>
      </c>
      <c r="AC85" s="12">
        <v>8.7498264173809848E-2</v>
      </c>
      <c r="AD85" s="14">
        <v>0</v>
      </c>
      <c r="AE85" s="14">
        <v>0</v>
      </c>
      <c r="AF85" s="14">
        <v>1</v>
      </c>
      <c r="AG85" s="14">
        <v>0</v>
      </c>
      <c r="AH85" s="14">
        <v>0</v>
      </c>
      <c r="AI85" s="14">
        <v>1</v>
      </c>
      <c r="AJ85" s="14">
        <v>0</v>
      </c>
      <c r="AK85" s="18">
        <v>0</v>
      </c>
      <c r="AL85" s="7">
        <v>0</v>
      </c>
      <c r="AM85" s="17">
        <v>0</v>
      </c>
      <c r="AN85" s="4">
        <v>1</v>
      </c>
      <c r="AO85" s="7">
        <v>95087</v>
      </c>
      <c r="AP85" s="8">
        <v>8</v>
      </c>
      <c r="AQ85" s="7">
        <v>59295</v>
      </c>
      <c r="AR85" s="12">
        <v>0.62360000000000004</v>
      </c>
      <c r="AS85" s="4">
        <v>1</v>
      </c>
      <c r="AT85" s="7">
        <v>122045</v>
      </c>
      <c r="AU85" s="8">
        <v>4</v>
      </c>
      <c r="AV85" s="7">
        <v>31425</v>
      </c>
      <c r="AW85" s="12">
        <v>0.25748699250276535</v>
      </c>
      <c r="AX85" s="7">
        <v>10070</v>
      </c>
      <c r="AY85" s="12">
        <v>8.251054938752099E-2</v>
      </c>
      <c r="AZ85" s="14">
        <v>1</v>
      </c>
      <c r="BA85" s="14">
        <v>2</v>
      </c>
      <c r="BB85" s="14">
        <v>0</v>
      </c>
      <c r="BC85" s="14">
        <v>1</v>
      </c>
      <c r="BD85" s="14">
        <v>0</v>
      </c>
      <c r="BE85" s="14">
        <v>0</v>
      </c>
      <c r="BF85" s="14">
        <v>0</v>
      </c>
      <c r="BG85" s="18">
        <v>0</v>
      </c>
      <c r="BH85" s="7">
        <v>0</v>
      </c>
      <c r="BI85" s="17">
        <v>0</v>
      </c>
      <c r="BJ85" s="1">
        <v>1</v>
      </c>
      <c r="BK85" s="7">
        <v>122045</v>
      </c>
      <c r="BL85" s="8">
        <v>9</v>
      </c>
      <c r="BM85" s="7">
        <v>67155</v>
      </c>
      <c r="BN85" s="12">
        <v>0.55024785939612442</v>
      </c>
      <c r="BO85" s="7">
        <v>2245</v>
      </c>
      <c r="BP85" s="12">
        <v>1.84E-2</v>
      </c>
      <c r="BQ85" s="1"/>
      <c r="BR85" s="1"/>
      <c r="BS85" s="1"/>
      <c r="BT85" s="1"/>
      <c r="BU85" s="1"/>
      <c r="BV85" s="1"/>
      <c r="BW85" s="1"/>
      <c r="BX85" s="1"/>
      <c r="BY85" s="1"/>
      <c r="BZ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</row>
    <row r="86" spans="1:110">
      <c r="A86" s="2" t="s">
        <v>336</v>
      </c>
      <c r="B86" s="1" t="s">
        <v>138</v>
      </c>
      <c r="C86" s="1" t="s">
        <v>351</v>
      </c>
      <c r="D86" s="8" t="s">
        <v>132</v>
      </c>
      <c r="E86" s="1"/>
      <c r="F86" s="2" t="s">
        <v>292</v>
      </c>
      <c r="G86" s="1" t="s">
        <v>140</v>
      </c>
      <c r="H86" s="4"/>
      <c r="I86" s="3"/>
      <c r="J86" s="1"/>
      <c r="K86" s="3"/>
      <c r="L86" s="13"/>
      <c r="M86" s="18"/>
      <c r="N86" s="18"/>
      <c r="O86" s="18"/>
      <c r="P86" s="18"/>
      <c r="Q86" s="18"/>
      <c r="R86" s="18"/>
      <c r="S86" s="18"/>
      <c r="T86" s="18"/>
      <c r="U86" s="3"/>
      <c r="V86" s="17"/>
      <c r="W86" s="4">
        <v>1</v>
      </c>
      <c r="X86" s="3">
        <v>68214</v>
      </c>
      <c r="Y86" s="1">
        <v>1</v>
      </c>
      <c r="Z86" s="3">
        <v>4109</v>
      </c>
      <c r="AA86" s="13">
        <v>6.023690151581787E-2</v>
      </c>
      <c r="AB86" s="3">
        <v>1254</v>
      </c>
      <c r="AC86" s="12">
        <v>1.8383323071510246E-2</v>
      </c>
      <c r="AD86" s="14">
        <v>1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8">
        <v>0</v>
      </c>
      <c r="AL86" s="3">
        <v>0</v>
      </c>
      <c r="AM86" s="17">
        <v>0</v>
      </c>
      <c r="AN86" s="4">
        <v>1</v>
      </c>
      <c r="AO86" s="3">
        <v>79581</v>
      </c>
      <c r="AP86" s="1">
        <v>1</v>
      </c>
      <c r="AQ86" s="3">
        <v>4532</v>
      </c>
      <c r="AR86" s="13">
        <v>5.6899999999999999E-2</v>
      </c>
      <c r="AS86" s="4">
        <v>1</v>
      </c>
      <c r="AT86" s="3">
        <v>83371</v>
      </c>
      <c r="AU86" s="1">
        <v>1</v>
      </c>
      <c r="AV86" s="3">
        <v>3745</v>
      </c>
      <c r="AW86" s="13">
        <v>4.4919696297273631E-2</v>
      </c>
      <c r="AX86" s="3">
        <v>2635</v>
      </c>
      <c r="AY86" s="12">
        <v>3.1605714217173835E-2</v>
      </c>
      <c r="AZ86" s="14">
        <v>1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8">
        <v>0</v>
      </c>
      <c r="BH86" s="3">
        <v>0</v>
      </c>
      <c r="BI86" s="17">
        <v>0</v>
      </c>
      <c r="BJ86" s="1">
        <v>1</v>
      </c>
      <c r="BK86" s="3">
        <v>83371</v>
      </c>
      <c r="BL86" s="1">
        <v>1</v>
      </c>
      <c r="BM86" s="3">
        <v>6225</v>
      </c>
      <c r="BN86" s="13">
        <v>7.4666250854613717E-2</v>
      </c>
      <c r="BO86" s="3">
        <v>1935</v>
      </c>
      <c r="BP86" s="12">
        <v>2.3199999999999998E-2</v>
      </c>
      <c r="BQ86" s="1"/>
      <c r="BR86" s="1"/>
      <c r="BS86" s="1"/>
      <c r="BT86" s="1"/>
      <c r="BU86" s="1"/>
      <c r="BV86" s="1"/>
      <c r="BW86" s="1"/>
      <c r="BX86" s="1"/>
      <c r="BY86" s="1"/>
      <c r="BZ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</row>
    <row r="87" spans="1:110">
      <c r="A87" s="2" t="s">
        <v>336</v>
      </c>
      <c r="B87" s="1" t="s">
        <v>138</v>
      </c>
      <c r="C87" s="1" t="s">
        <v>351</v>
      </c>
      <c r="D87" s="8" t="s">
        <v>132</v>
      </c>
      <c r="E87" s="1"/>
      <c r="F87" s="2" t="s">
        <v>293</v>
      </c>
      <c r="G87" s="1" t="s">
        <v>141</v>
      </c>
      <c r="H87" s="4"/>
      <c r="I87" s="3"/>
      <c r="J87" s="1"/>
      <c r="K87" s="1"/>
      <c r="L87" s="13"/>
      <c r="M87" s="18"/>
      <c r="N87" s="18"/>
      <c r="O87" s="18"/>
      <c r="P87" s="18"/>
      <c r="Q87" s="18"/>
      <c r="R87" s="18"/>
      <c r="S87" s="18"/>
      <c r="T87" s="18"/>
      <c r="U87" s="1"/>
      <c r="V87" s="17"/>
      <c r="W87" s="4">
        <v>1</v>
      </c>
      <c r="X87" s="3">
        <v>35742</v>
      </c>
      <c r="Y87" s="1">
        <v>0</v>
      </c>
      <c r="Z87" s="1">
        <v>0</v>
      </c>
      <c r="AA87" s="13">
        <v>0</v>
      </c>
      <c r="AB87" s="1">
        <v>3670</v>
      </c>
      <c r="AC87" s="12">
        <v>0.10268032007162442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18">
        <v>0</v>
      </c>
      <c r="AL87" s="1">
        <v>0</v>
      </c>
      <c r="AM87" s="17">
        <v>0</v>
      </c>
      <c r="AN87" s="4">
        <v>1</v>
      </c>
      <c r="AO87" s="3">
        <v>53459</v>
      </c>
      <c r="AP87" s="1">
        <v>0</v>
      </c>
      <c r="AQ87" s="1">
        <v>0</v>
      </c>
      <c r="AR87" s="13">
        <v>0</v>
      </c>
      <c r="AS87" s="4">
        <v>1</v>
      </c>
      <c r="AT87" s="3">
        <v>73865</v>
      </c>
      <c r="AU87" s="1">
        <v>0</v>
      </c>
      <c r="AV87" s="1">
        <v>0</v>
      </c>
      <c r="AW87" s="13">
        <v>0</v>
      </c>
      <c r="AX87" s="1">
        <v>4540</v>
      </c>
      <c r="AY87" s="12">
        <v>6.1463480674202937E-2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18">
        <v>0</v>
      </c>
      <c r="BH87" s="1">
        <v>0</v>
      </c>
      <c r="BI87" s="17">
        <v>0</v>
      </c>
      <c r="BJ87" s="1">
        <v>1</v>
      </c>
      <c r="BK87" s="3">
        <v>73865</v>
      </c>
      <c r="BL87" s="1">
        <v>2</v>
      </c>
      <c r="BM87" s="1">
        <v>18365</v>
      </c>
      <c r="BN87" s="13">
        <v>0.24862925607527245</v>
      </c>
      <c r="BO87" s="1">
        <v>2950</v>
      </c>
      <c r="BP87" s="12">
        <v>3.9899999999999998E-2</v>
      </c>
      <c r="BQ87" s="1"/>
      <c r="BR87" s="1"/>
      <c r="BS87" s="1"/>
      <c r="BT87" s="1"/>
      <c r="BU87" s="1"/>
      <c r="BV87" s="1"/>
      <c r="BW87" s="1"/>
      <c r="BX87" s="1"/>
      <c r="BY87" s="1"/>
      <c r="BZ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</row>
    <row r="88" spans="1:110">
      <c r="A88" s="2" t="s">
        <v>336</v>
      </c>
      <c r="B88" s="1" t="s">
        <v>138</v>
      </c>
      <c r="C88" s="1" t="s">
        <v>351</v>
      </c>
      <c r="D88" s="8" t="s">
        <v>132</v>
      </c>
      <c r="E88" s="1"/>
      <c r="F88" s="2" t="s">
        <v>294</v>
      </c>
      <c r="G88" s="1" t="s">
        <v>142</v>
      </c>
      <c r="H88" s="4"/>
      <c r="I88" s="3"/>
      <c r="J88" s="1"/>
      <c r="K88" s="1"/>
      <c r="L88" s="13"/>
      <c r="M88" s="18"/>
      <c r="N88" s="18"/>
      <c r="O88" s="18"/>
      <c r="P88" s="18"/>
      <c r="Q88" s="18"/>
      <c r="R88" s="18"/>
      <c r="S88" s="18"/>
      <c r="T88" s="18"/>
      <c r="U88" s="1"/>
      <c r="V88" s="17"/>
      <c r="W88" s="4">
        <v>1</v>
      </c>
      <c r="X88" s="3">
        <v>63385</v>
      </c>
      <c r="Y88" s="1">
        <v>0</v>
      </c>
      <c r="Z88" s="1">
        <v>0</v>
      </c>
      <c r="AA88" s="13">
        <v>0</v>
      </c>
      <c r="AB88" s="1">
        <v>0</v>
      </c>
      <c r="AC88" s="12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18">
        <v>0</v>
      </c>
      <c r="AL88" s="1">
        <v>0</v>
      </c>
      <c r="AM88" s="17">
        <v>0</v>
      </c>
      <c r="AN88" s="4">
        <v>1</v>
      </c>
      <c r="AO88" s="3">
        <v>75719</v>
      </c>
      <c r="AP88" s="1">
        <v>1</v>
      </c>
      <c r="AQ88" s="1">
        <v>10158</v>
      </c>
      <c r="AR88" s="13">
        <v>0.13420000000000001</v>
      </c>
      <c r="AS88" s="4">
        <v>1</v>
      </c>
      <c r="AT88" s="3">
        <v>89885</v>
      </c>
      <c r="AU88" s="1">
        <v>0</v>
      </c>
      <c r="AV88" s="1">
        <v>0</v>
      </c>
      <c r="AW88" s="13">
        <v>0</v>
      </c>
      <c r="AX88" s="1">
        <v>1810</v>
      </c>
      <c r="AY88" s="12">
        <v>2.0136841519719641E-2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18">
        <v>0</v>
      </c>
      <c r="BH88" s="1">
        <v>0</v>
      </c>
      <c r="BI88" s="17">
        <v>0</v>
      </c>
      <c r="BJ88" s="1">
        <v>1</v>
      </c>
      <c r="BK88" s="3">
        <v>89885</v>
      </c>
      <c r="BL88" s="1">
        <v>1</v>
      </c>
      <c r="BM88" s="1">
        <v>11790</v>
      </c>
      <c r="BN88" s="13">
        <v>0.13116760304833955</v>
      </c>
      <c r="BO88" s="1">
        <v>3710</v>
      </c>
      <c r="BP88" s="12">
        <v>4.1300000000000003E-2</v>
      </c>
      <c r="BQ88" s="1"/>
      <c r="BR88" s="1"/>
      <c r="BS88" s="1"/>
      <c r="BT88" s="1"/>
      <c r="BU88" s="1"/>
      <c r="BV88" s="1"/>
      <c r="BW88" s="1"/>
      <c r="BX88" s="1"/>
      <c r="BY88" s="1"/>
      <c r="BZ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</row>
    <row r="89" spans="1:110">
      <c r="A89" s="10" t="s">
        <v>336</v>
      </c>
      <c r="B89" s="8" t="s">
        <v>138</v>
      </c>
      <c r="C89" s="8" t="s">
        <v>351</v>
      </c>
      <c r="D89" s="8" t="s">
        <v>132</v>
      </c>
      <c r="F89" s="10" t="s">
        <v>295</v>
      </c>
      <c r="G89" s="8" t="s">
        <v>143</v>
      </c>
      <c r="H89" s="4">
        <v>1</v>
      </c>
      <c r="I89" s="7">
        <v>53707</v>
      </c>
      <c r="J89" s="8">
        <v>0</v>
      </c>
      <c r="K89" s="7">
        <v>0</v>
      </c>
      <c r="L89" s="12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18">
        <f>SUM(Tabla2[[#This Row],[EST_BBVV91]:[ESTyPARyVIV_BBVV91]])</f>
        <v>0</v>
      </c>
      <c r="U89" s="7">
        <v>0</v>
      </c>
      <c r="V89" s="17">
        <v>0</v>
      </c>
      <c r="W89" s="4">
        <v>1</v>
      </c>
      <c r="X89" s="7">
        <v>61884</v>
      </c>
      <c r="Y89" s="8">
        <v>0</v>
      </c>
      <c r="Z89" s="7">
        <v>0</v>
      </c>
      <c r="AA89" s="12">
        <v>0</v>
      </c>
      <c r="AB89" s="7">
        <v>6468</v>
      </c>
      <c r="AC89" s="12">
        <v>8.0286987500155158E-2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18">
        <v>0</v>
      </c>
      <c r="AL89" s="7">
        <v>0</v>
      </c>
      <c r="AM89" s="17">
        <v>0</v>
      </c>
      <c r="AN89" s="4">
        <v>1</v>
      </c>
      <c r="AO89" s="7">
        <v>67351</v>
      </c>
      <c r="AP89" s="8">
        <v>0</v>
      </c>
      <c r="AQ89" s="7">
        <v>0</v>
      </c>
      <c r="AR89" s="12">
        <v>0</v>
      </c>
      <c r="AS89" s="4">
        <v>1</v>
      </c>
      <c r="AT89" s="7">
        <v>80561</v>
      </c>
      <c r="AU89" s="8">
        <v>1</v>
      </c>
      <c r="AV89" s="7">
        <v>9410</v>
      </c>
      <c r="AW89" s="12">
        <v>0.11680589863581634</v>
      </c>
      <c r="AX89" s="7">
        <v>6220</v>
      </c>
      <c r="AY89" s="12">
        <v>7.7208574868733004E-2</v>
      </c>
      <c r="AZ89" s="8">
        <v>1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18">
        <v>0</v>
      </c>
      <c r="BH89" s="7">
        <v>0</v>
      </c>
      <c r="BI89" s="17">
        <v>0</v>
      </c>
      <c r="BJ89" s="1">
        <v>1</v>
      </c>
      <c r="BK89" s="7">
        <v>80561</v>
      </c>
      <c r="BL89" s="8">
        <v>2</v>
      </c>
      <c r="BM89" s="7">
        <v>18365</v>
      </c>
      <c r="BN89" s="12">
        <v>0.22796390312930576</v>
      </c>
      <c r="BO89" s="7">
        <v>3725</v>
      </c>
      <c r="BP89" s="12">
        <v>4.6199999999999998E-2</v>
      </c>
      <c r="BQ89" s="1"/>
      <c r="BR89" s="1"/>
      <c r="BS89" s="1"/>
      <c r="BT89" s="1"/>
      <c r="BU89" s="1"/>
      <c r="BV89" s="1"/>
      <c r="BW89" s="1"/>
      <c r="BX89" s="1"/>
      <c r="BY89" s="1"/>
      <c r="BZ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</row>
    <row r="90" spans="1:110">
      <c r="A90" s="10" t="s">
        <v>336</v>
      </c>
      <c r="B90" s="8" t="s">
        <v>138</v>
      </c>
      <c r="C90" s="8" t="s">
        <v>351</v>
      </c>
      <c r="D90" s="8" t="s">
        <v>132</v>
      </c>
      <c r="F90" s="10" t="s">
        <v>296</v>
      </c>
      <c r="G90" s="8" t="s">
        <v>144</v>
      </c>
      <c r="H90" s="4">
        <v>1</v>
      </c>
      <c r="I90" s="7">
        <v>82238</v>
      </c>
      <c r="J90" s="8">
        <v>0</v>
      </c>
      <c r="K90" s="7">
        <v>0</v>
      </c>
      <c r="L90" s="12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18">
        <f>SUM(Tabla2[[#This Row],[EST_BBVV91]:[ESTyPARyVIV_BBVV91]])</f>
        <v>0</v>
      </c>
      <c r="U90" s="7">
        <v>0</v>
      </c>
      <c r="V90" s="17">
        <v>0</v>
      </c>
      <c r="W90" s="4">
        <v>1</v>
      </c>
      <c r="X90" s="7">
        <v>97887</v>
      </c>
      <c r="Y90" s="8">
        <v>1</v>
      </c>
      <c r="Z90" s="7">
        <v>6183</v>
      </c>
      <c r="AA90" s="12">
        <v>6.3164669465812617E-2</v>
      </c>
      <c r="AB90" s="7">
        <v>7129</v>
      </c>
      <c r="AC90" s="12">
        <v>7.2828874109943098E-2</v>
      </c>
      <c r="AD90" s="14">
        <v>1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8">
        <v>0</v>
      </c>
      <c r="AL90" s="7">
        <v>0</v>
      </c>
      <c r="AM90" s="17">
        <v>0</v>
      </c>
      <c r="AN90" s="4">
        <v>1</v>
      </c>
      <c r="AO90" s="7">
        <v>112114</v>
      </c>
      <c r="AP90" s="8">
        <v>6</v>
      </c>
      <c r="AQ90" s="7">
        <v>41563</v>
      </c>
      <c r="AR90" s="12">
        <v>0.37069999999999997</v>
      </c>
      <c r="AS90" s="4">
        <v>1</v>
      </c>
      <c r="AT90" s="7">
        <v>123213</v>
      </c>
      <c r="AU90" s="8">
        <v>3</v>
      </c>
      <c r="AV90" s="7">
        <v>17960</v>
      </c>
      <c r="AW90" s="12">
        <v>0.14576383985456079</v>
      </c>
      <c r="AX90" s="7">
        <v>17595</v>
      </c>
      <c r="AY90" s="12">
        <v>0.14280149010250542</v>
      </c>
      <c r="AZ90" s="14">
        <v>2</v>
      </c>
      <c r="BA90" s="14">
        <v>1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8">
        <v>0</v>
      </c>
      <c r="BH90" s="7">
        <v>0</v>
      </c>
      <c r="BI90" s="17">
        <v>0</v>
      </c>
      <c r="BJ90" s="1">
        <v>1</v>
      </c>
      <c r="BK90" s="7">
        <v>123213</v>
      </c>
      <c r="BL90" s="8">
        <v>8</v>
      </c>
      <c r="BM90" s="7">
        <v>64765</v>
      </c>
      <c r="BN90" s="12">
        <v>0.5256344703886765</v>
      </c>
      <c r="BO90" s="7">
        <v>6175</v>
      </c>
      <c r="BP90" s="12">
        <v>5.0099999999999999E-2</v>
      </c>
      <c r="BQ90" s="1"/>
      <c r="BR90" s="1"/>
      <c r="BS90" s="1"/>
      <c r="BT90" s="1"/>
      <c r="BU90" s="1"/>
      <c r="BV90" s="1"/>
      <c r="BW90" s="1"/>
      <c r="BX90" s="1"/>
      <c r="BY90" s="1"/>
      <c r="BZ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</row>
    <row r="91" spans="1:110">
      <c r="A91" s="2" t="s">
        <v>336</v>
      </c>
      <c r="B91" s="1" t="s">
        <v>138</v>
      </c>
      <c r="C91" s="1" t="s">
        <v>351</v>
      </c>
      <c r="D91" s="8" t="s">
        <v>132</v>
      </c>
      <c r="E91" s="1"/>
      <c r="F91" s="2" t="s">
        <v>297</v>
      </c>
      <c r="G91" s="1" t="s">
        <v>145</v>
      </c>
      <c r="H91" s="4"/>
      <c r="I91" s="3"/>
      <c r="J91" s="1"/>
      <c r="K91" s="1"/>
      <c r="L91" s="13"/>
      <c r="M91" s="18"/>
      <c r="N91" s="18"/>
      <c r="O91" s="18"/>
      <c r="P91" s="18"/>
      <c r="Q91" s="18"/>
      <c r="R91" s="18"/>
      <c r="S91" s="18"/>
      <c r="T91" s="18"/>
      <c r="U91" s="1"/>
      <c r="V91" s="17"/>
      <c r="W91" s="4"/>
      <c r="X91" s="3"/>
      <c r="Y91" s="1"/>
      <c r="Z91" s="1"/>
      <c r="AA91" s="13"/>
      <c r="AB91" s="1"/>
      <c r="AC91" s="12"/>
      <c r="AD91" s="14"/>
      <c r="AE91" s="14"/>
      <c r="AF91" s="14"/>
      <c r="AG91" s="14"/>
      <c r="AH91" s="14"/>
      <c r="AI91" s="14"/>
      <c r="AJ91" s="14"/>
      <c r="AK91" s="18"/>
      <c r="AL91" s="1"/>
      <c r="AM91" s="17"/>
      <c r="AN91" s="1"/>
      <c r="AO91" s="3"/>
      <c r="AP91" s="1"/>
      <c r="AQ91" s="1"/>
      <c r="AR91" s="13"/>
      <c r="AS91" s="4">
        <v>1</v>
      </c>
      <c r="AT91" s="3">
        <v>69354</v>
      </c>
      <c r="AU91" s="1">
        <v>0</v>
      </c>
      <c r="AV91" s="1">
        <v>0</v>
      </c>
      <c r="AW91" s="13">
        <v>0</v>
      </c>
      <c r="AX91" s="1">
        <v>1610</v>
      </c>
      <c r="AY91" s="12">
        <v>2.3214234218646365E-2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8">
        <v>0</v>
      </c>
      <c r="BH91" s="1">
        <v>0</v>
      </c>
      <c r="BI91" s="17">
        <v>0</v>
      </c>
      <c r="BJ91" s="1">
        <v>1</v>
      </c>
      <c r="BK91" s="3">
        <v>69354</v>
      </c>
      <c r="BL91" s="1">
        <v>1</v>
      </c>
      <c r="BM91" s="1">
        <v>12790</v>
      </c>
      <c r="BN91" s="13">
        <v>0.18441618363756956</v>
      </c>
      <c r="BO91" s="1">
        <v>0</v>
      </c>
      <c r="BP91" s="12">
        <v>0</v>
      </c>
      <c r="BQ91" s="1"/>
      <c r="BR91" s="1"/>
      <c r="BS91" s="1"/>
      <c r="BT91" s="1"/>
      <c r="BU91" s="1"/>
      <c r="BV91" s="1"/>
      <c r="BW91" s="1"/>
      <c r="BX91" s="1"/>
      <c r="BY91" s="1"/>
      <c r="BZ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</row>
    <row r="92" spans="1:110">
      <c r="A92" s="10" t="s">
        <v>324</v>
      </c>
      <c r="B92" s="8" t="s">
        <v>30</v>
      </c>
      <c r="C92" s="1" t="s">
        <v>352</v>
      </c>
      <c r="D92" s="8" t="s">
        <v>21</v>
      </c>
      <c r="F92" s="2" t="s">
        <v>167</v>
      </c>
      <c r="G92" s="1" t="s">
        <v>18</v>
      </c>
      <c r="H92" s="4"/>
      <c r="I92" s="3"/>
      <c r="J92" s="1"/>
      <c r="K92" s="3"/>
      <c r="L92" s="13"/>
      <c r="M92" s="18"/>
      <c r="N92" s="18"/>
      <c r="O92" s="18"/>
      <c r="P92" s="18"/>
      <c r="Q92" s="18"/>
      <c r="R92" s="18"/>
      <c r="S92" s="18"/>
      <c r="T92" s="18"/>
      <c r="U92" s="3"/>
      <c r="V92" s="17"/>
      <c r="W92" s="4">
        <v>1</v>
      </c>
      <c r="X92" s="3">
        <v>34565</v>
      </c>
      <c r="Y92" s="1">
        <v>0</v>
      </c>
      <c r="Z92" s="3">
        <v>0</v>
      </c>
      <c r="AA92" s="13">
        <v>0</v>
      </c>
      <c r="AB92" s="3">
        <v>12179</v>
      </c>
      <c r="AC92" s="12">
        <v>0.35235064371474034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18">
        <v>0</v>
      </c>
      <c r="AL92" s="3">
        <v>0</v>
      </c>
      <c r="AM92" s="17">
        <v>0</v>
      </c>
      <c r="AN92" s="4">
        <v>1</v>
      </c>
      <c r="AO92" s="3">
        <v>50298</v>
      </c>
      <c r="AP92" s="1">
        <v>1</v>
      </c>
      <c r="AQ92" s="3">
        <v>9224</v>
      </c>
      <c r="AR92" s="13">
        <v>0.18340000000000001</v>
      </c>
      <c r="AS92" s="4">
        <v>1</v>
      </c>
      <c r="AT92" s="3">
        <v>61394</v>
      </c>
      <c r="AU92" s="1">
        <v>3</v>
      </c>
      <c r="AV92" s="3">
        <v>22240</v>
      </c>
      <c r="AW92" s="13">
        <v>0.36225038277356092</v>
      </c>
      <c r="AX92" s="3">
        <v>4915</v>
      </c>
      <c r="AY92" s="12">
        <v>8.0056683063491549E-2</v>
      </c>
      <c r="AZ92" s="8">
        <v>0</v>
      </c>
      <c r="BA92" s="8">
        <v>3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18">
        <v>0</v>
      </c>
      <c r="BH92" s="3">
        <v>0</v>
      </c>
      <c r="BI92" s="17">
        <v>0</v>
      </c>
      <c r="BJ92" s="1">
        <v>1</v>
      </c>
      <c r="BK92" s="3">
        <v>61394</v>
      </c>
      <c r="BL92" s="1">
        <v>1</v>
      </c>
      <c r="BM92" s="3">
        <v>12270</v>
      </c>
      <c r="BN92" s="13">
        <v>0.19985666351760759</v>
      </c>
      <c r="BO92" s="3">
        <v>4795</v>
      </c>
      <c r="BP92" s="12">
        <v>7.8100000000000003E-2</v>
      </c>
      <c r="BQ92" s="1"/>
      <c r="BR92" s="1"/>
      <c r="BS92" s="1"/>
      <c r="BT92" s="1"/>
      <c r="BU92" s="1"/>
      <c r="BV92" s="1"/>
      <c r="BW92" s="1"/>
      <c r="BX92" s="1"/>
      <c r="BY92" s="1"/>
      <c r="BZ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</row>
    <row r="93" spans="1:110">
      <c r="A93" s="10" t="s">
        <v>324</v>
      </c>
      <c r="B93" s="8" t="s">
        <v>30</v>
      </c>
      <c r="C93" s="1" t="s">
        <v>352</v>
      </c>
      <c r="D93" s="8" t="s">
        <v>21</v>
      </c>
      <c r="F93" s="2" t="s">
        <v>173</v>
      </c>
      <c r="G93" s="1" t="s">
        <v>19</v>
      </c>
      <c r="H93" s="4"/>
      <c r="I93" s="3"/>
      <c r="J93" s="1"/>
      <c r="K93" s="3"/>
      <c r="L93" s="13"/>
      <c r="M93" s="18"/>
      <c r="N93" s="18"/>
      <c r="O93" s="18"/>
      <c r="P93" s="18"/>
      <c r="Q93" s="18"/>
      <c r="R93" s="18"/>
      <c r="S93" s="18"/>
      <c r="T93" s="18"/>
      <c r="U93" s="3"/>
      <c r="V93" s="17"/>
      <c r="W93" s="4">
        <v>1</v>
      </c>
      <c r="X93" s="3">
        <v>43109</v>
      </c>
      <c r="Y93" s="1">
        <v>2</v>
      </c>
      <c r="Z93" s="3">
        <v>10542</v>
      </c>
      <c r="AA93" s="13">
        <v>0.24454290287410982</v>
      </c>
      <c r="AB93" s="3">
        <v>0</v>
      </c>
      <c r="AC93" s="12">
        <v>0</v>
      </c>
      <c r="AD93" s="14">
        <v>2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8">
        <v>0</v>
      </c>
      <c r="AL93" s="3">
        <v>0</v>
      </c>
      <c r="AM93" s="17">
        <v>0</v>
      </c>
      <c r="AN93" s="4">
        <v>1</v>
      </c>
      <c r="AO93" s="3">
        <v>58603</v>
      </c>
      <c r="AP93" s="1">
        <v>0</v>
      </c>
      <c r="AQ93" s="3">
        <v>0</v>
      </c>
      <c r="AR93" s="13">
        <v>0</v>
      </c>
      <c r="AS93" s="4">
        <v>1</v>
      </c>
      <c r="AT93" s="3">
        <v>64468</v>
      </c>
      <c r="AU93" s="1">
        <v>4</v>
      </c>
      <c r="AV93" s="3">
        <v>26600</v>
      </c>
      <c r="AW93" s="13">
        <v>0.41260780542284542</v>
      </c>
      <c r="AX93" s="3">
        <v>7290</v>
      </c>
      <c r="AY93" s="12">
        <v>0.11307935720047155</v>
      </c>
      <c r="AZ93" s="14">
        <v>1</v>
      </c>
      <c r="BA93" s="14">
        <v>2</v>
      </c>
      <c r="BB93" s="14">
        <v>0</v>
      </c>
      <c r="BC93" s="14">
        <v>1</v>
      </c>
      <c r="BD93" s="14">
        <v>0</v>
      </c>
      <c r="BE93" s="14">
        <v>0</v>
      </c>
      <c r="BF93" s="14">
        <v>0</v>
      </c>
      <c r="BG93" s="18">
        <v>0</v>
      </c>
      <c r="BH93" s="3">
        <v>0</v>
      </c>
      <c r="BI93" s="17">
        <v>0</v>
      </c>
      <c r="BJ93" s="1">
        <v>1</v>
      </c>
      <c r="BK93" s="3">
        <v>64468</v>
      </c>
      <c r="BL93" s="1">
        <v>1</v>
      </c>
      <c r="BM93" s="3">
        <v>4665</v>
      </c>
      <c r="BN93" s="13">
        <v>7.236148166532233E-2</v>
      </c>
      <c r="BO93" s="3">
        <v>3035</v>
      </c>
      <c r="BP93" s="12">
        <v>4.7100000000000003E-2</v>
      </c>
      <c r="BQ93" s="1"/>
      <c r="BR93" s="1"/>
      <c r="BS93" s="1"/>
      <c r="BT93" s="1"/>
      <c r="BU93" s="1"/>
      <c r="BV93" s="1"/>
      <c r="BW93" s="1"/>
      <c r="BX93" s="1"/>
      <c r="BY93" s="1"/>
      <c r="BZ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</row>
    <row r="94" spans="1:110">
      <c r="A94" s="10" t="s">
        <v>324</v>
      </c>
      <c r="B94" s="8" t="s">
        <v>30</v>
      </c>
      <c r="C94" s="1" t="s">
        <v>352</v>
      </c>
      <c r="D94" s="8" t="s">
        <v>21</v>
      </c>
      <c r="F94" s="2" t="s">
        <v>174</v>
      </c>
      <c r="G94" s="1" t="s">
        <v>20</v>
      </c>
      <c r="H94" s="4"/>
      <c r="I94" s="3"/>
      <c r="J94" s="1"/>
      <c r="K94" s="3"/>
      <c r="L94" s="13"/>
      <c r="M94" s="18"/>
      <c r="N94" s="18"/>
      <c r="O94" s="18"/>
      <c r="P94" s="18"/>
      <c r="Q94" s="18"/>
      <c r="R94" s="18"/>
      <c r="S94" s="18"/>
      <c r="T94" s="18"/>
      <c r="U94" s="3"/>
      <c r="V94" s="17"/>
      <c r="W94" s="4">
        <v>1</v>
      </c>
      <c r="X94" s="3">
        <v>49675</v>
      </c>
      <c r="Y94" s="1">
        <v>1</v>
      </c>
      <c r="Z94" s="3">
        <v>4801</v>
      </c>
      <c r="AA94" s="13">
        <v>9.6648213387015597E-2</v>
      </c>
      <c r="AB94" s="3">
        <v>3540</v>
      </c>
      <c r="AC94" s="12">
        <v>7.1263210870659288E-2</v>
      </c>
      <c r="AD94" s="14">
        <v>1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8">
        <v>0</v>
      </c>
      <c r="AL94" s="3">
        <v>0</v>
      </c>
      <c r="AM94" s="17">
        <v>0</v>
      </c>
      <c r="AN94" s="4">
        <v>1</v>
      </c>
      <c r="AO94" s="3">
        <v>63899</v>
      </c>
      <c r="AP94" s="1">
        <v>1</v>
      </c>
      <c r="AQ94" s="3">
        <v>6445</v>
      </c>
      <c r="AR94" s="13">
        <v>0.1009</v>
      </c>
      <c r="AS94" s="4">
        <v>1</v>
      </c>
      <c r="AT94" s="3">
        <v>72019</v>
      </c>
      <c r="AU94" s="1">
        <v>4</v>
      </c>
      <c r="AV94" s="3">
        <v>26270</v>
      </c>
      <c r="AW94" s="13">
        <v>0.36476485371915746</v>
      </c>
      <c r="AX94" s="3">
        <v>8125</v>
      </c>
      <c r="AY94" s="12">
        <v>0.11281745095044363</v>
      </c>
      <c r="AZ94" s="14">
        <v>1</v>
      </c>
      <c r="BA94" s="14">
        <v>2</v>
      </c>
      <c r="BB94" s="14">
        <v>0</v>
      </c>
      <c r="BC94" s="14">
        <v>1</v>
      </c>
      <c r="BD94" s="14">
        <v>0</v>
      </c>
      <c r="BE94" s="14">
        <v>0</v>
      </c>
      <c r="BF94" s="14">
        <v>0</v>
      </c>
      <c r="BG94" s="18">
        <v>0</v>
      </c>
      <c r="BH94" s="3">
        <v>0</v>
      </c>
      <c r="BI94" s="17">
        <v>0</v>
      </c>
      <c r="BJ94" s="1">
        <v>1</v>
      </c>
      <c r="BK94" s="3">
        <v>72019</v>
      </c>
      <c r="BL94" s="1">
        <v>5</v>
      </c>
      <c r="BM94" s="3">
        <v>47315</v>
      </c>
      <c r="BN94" s="13">
        <v>0.65697940821172196</v>
      </c>
      <c r="BO94" s="3">
        <v>4445</v>
      </c>
      <c r="BP94" s="12">
        <v>6.1699999999999998E-2</v>
      </c>
      <c r="BQ94" s="1"/>
      <c r="BR94" s="1"/>
      <c r="BS94" s="1"/>
      <c r="BT94" s="1"/>
      <c r="BU94" s="1"/>
      <c r="BV94" s="1"/>
      <c r="BW94" s="1"/>
      <c r="BX94" s="1"/>
      <c r="BY94" s="1"/>
      <c r="BZ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 spans="1:110">
      <c r="A95" s="10" t="s">
        <v>324</v>
      </c>
      <c r="B95" s="8" t="s">
        <v>30</v>
      </c>
      <c r="C95" s="8" t="s">
        <v>352</v>
      </c>
      <c r="D95" s="8" t="s">
        <v>21</v>
      </c>
      <c r="E95" s="8">
        <v>1</v>
      </c>
      <c r="F95" s="10" t="s">
        <v>181</v>
      </c>
      <c r="G95" s="8" t="s">
        <v>21</v>
      </c>
      <c r="H95" s="4">
        <v>1</v>
      </c>
      <c r="I95" s="7">
        <v>522108</v>
      </c>
      <c r="J95" s="8">
        <v>25</v>
      </c>
      <c r="K95" s="7">
        <v>242982</v>
      </c>
      <c r="L95" s="12">
        <v>0.46539999999999998</v>
      </c>
      <c r="M95" s="18">
        <v>0</v>
      </c>
      <c r="N95" s="18">
        <v>16</v>
      </c>
      <c r="O95" s="18">
        <v>0</v>
      </c>
      <c r="P95" s="18">
        <v>3</v>
      </c>
      <c r="Q95" s="18">
        <v>4</v>
      </c>
      <c r="R95" s="18">
        <v>0</v>
      </c>
      <c r="S95" s="18">
        <v>2</v>
      </c>
      <c r="T95" s="18">
        <v>3</v>
      </c>
      <c r="U95" s="7">
        <v>24088</v>
      </c>
      <c r="V95" s="17">
        <v>4.6136048480391031E-2</v>
      </c>
      <c r="W95" s="4">
        <v>1</v>
      </c>
      <c r="X95" s="7">
        <v>524414</v>
      </c>
      <c r="Y95" s="8">
        <v>33</v>
      </c>
      <c r="Z95" s="7">
        <v>241630</v>
      </c>
      <c r="AA95" s="12">
        <v>0.46076191711128994</v>
      </c>
      <c r="AB95" s="7">
        <v>55029</v>
      </c>
      <c r="AC95" s="12">
        <v>0.1049342694893729</v>
      </c>
      <c r="AD95" s="14">
        <v>0</v>
      </c>
      <c r="AE95" s="14">
        <v>22</v>
      </c>
      <c r="AF95" s="14">
        <v>1</v>
      </c>
      <c r="AG95" s="14">
        <v>5</v>
      </c>
      <c r="AH95" s="14">
        <v>5</v>
      </c>
      <c r="AI95" s="14">
        <v>0</v>
      </c>
      <c r="AJ95" s="14">
        <v>0</v>
      </c>
      <c r="AK95" s="18">
        <v>2</v>
      </c>
      <c r="AL95" s="7">
        <v>20249</v>
      </c>
      <c r="AM95" s="17">
        <v>3.8612622851411288E-2</v>
      </c>
      <c r="AN95" s="4">
        <v>1</v>
      </c>
      <c r="AO95" s="7">
        <v>560631</v>
      </c>
      <c r="AP95" s="8">
        <v>0</v>
      </c>
      <c r="AQ95" s="7">
        <v>0</v>
      </c>
      <c r="AR95" s="12">
        <v>0</v>
      </c>
      <c r="AS95" s="4">
        <v>1</v>
      </c>
      <c r="AT95" s="7">
        <v>561435</v>
      </c>
      <c r="AU95" s="8">
        <v>27</v>
      </c>
      <c r="AV95" s="7">
        <v>202260</v>
      </c>
      <c r="AW95" s="12">
        <v>0.36025541692270702</v>
      </c>
      <c r="AX95" s="7">
        <v>79675</v>
      </c>
      <c r="AY95" s="12">
        <v>0.14191313331017838</v>
      </c>
      <c r="AZ95" s="14">
        <v>6</v>
      </c>
      <c r="BA95" s="14">
        <v>9</v>
      </c>
      <c r="BB95" s="14">
        <v>3</v>
      </c>
      <c r="BC95" s="14">
        <v>8</v>
      </c>
      <c r="BD95" s="14">
        <v>0</v>
      </c>
      <c r="BE95" s="14">
        <v>0</v>
      </c>
      <c r="BF95" s="14">
        <v>1</v>
      </c>
      <c r="BG95" s="18">
        <v>1</v>
      </c>
      <c r="BH95" s="7">
        <v>12535</v>
      </c>
      <c r="BI95" s="17">
        <v>2.2326716360754138E-2</v>
      </c>
      <c r="BJ95" s="1">
        <v>1</v>
      </c>
      <c r="BK95" s="7">
        <v>561435</v>
      </c>
      <c r="BL95" s="8">
        <v>8</v>
      </c>
      <c r="BM95" s="7">
        <v>44200</v>
      </c>
      <c r="BN95" s="12">
        <v>7.8726833916659994E-2</v>
      </c>
      <c r="BO95" s="7">
        <v>28800</v>
      </c>
      <c r="BP95" s="12">
        <v>5.1299999999999998E-2</v>
      </c>
      <c r="BQ95" s="1"/>
      <c r="BR95" s="1"/>
      <c r="BS95" s="1"/>
      <c r="BT95" s="1"/>
      <c r="BU95" s="1"/>
      <c r="BV95" s="1"/>
      <c r="BW95" s="1"/>
      <c r="BX95" s="1"/>
      <c r="BY95" s="1"/>
      <c r="BZ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 spans="1:110">
      <c r="A96" s="10" t="s">
        <v>324</v>
      </c>
      <c r="B96" s="8" t="s">
        <v>30</v>
      </c>
      <c r="C96" s="8" t="s">
        <v>352</v>
      </c>
      <c r="D96" s="8" t="s">
        <v>21</v>
      </c>
      <c r="F96" s="10" t="s">
        <v>182</v>
      </c>
      <c r="G96" s="8" t="s">
        <v>22</v>
      </c>
      <c r="H96" s="4">
        <v>1</v>
      </c>
      <c r="I96" s="7">
        <v>80599</v>
      </c>
      <c r="J96" s="8">
        <v>3</v>
      </c>
      <c r="K96" s="7">
        <v>22574</v>
      </c>
      <c r="L96" s="12">
        <v>0.28010000000000002</v>
      </c>
      <c r="M96" s="18">
        <v>0</v>
      </c>
      <c r="N96" s="18">
        <v>2</v>
      </c>
      <c r="O96" s="18">
        <v>0</v>
      </c>
      <c r="P96" s="18">
        <v>1</v>
      </c>
      <c r="Q96" s="18">
        <v>0</v>
      </c>
      <c r="R96" s="18">
        <v>0</v>
      </c>
      <c r="S96" s="18">
        <v>0</v>
      </c>
      <c r="T96" s="18">
        <v>0</v>
      </c>
      <c r="U96" s="7">
        <v>0</v>
      </c>
      <c r="V96" s="17">
        <v>0</v>
      </c>
      <c r="W96" s="4">
        <v>1</v>
      </c>
      <c r="X96" s="7">
        <v>100036</v>
      </c>
      <c r="Y96" s="8">
        <v>2</v>
      </c>
      <c r="Z96" s="7">
        <v>7800</v>
      </c>
      <c r="AA96" s="12">
        <v>7.7971930105162138E-2</v>
      </c>
      <c r="AB96" s="7">
        <v>4335</v>
      </c>
      <c r="AC96" s="12">
        <v>4.3334399616138192E-2</v>
      </c>
      <c r="AD96" s="14">
        <v>1</v>
      </c>
      <c r="AE96" s="14">
        <v>0</v>
      </c>
      <c r="AF96" s="14">
        <v>0</v>
      </c>
      <c r="AG96" s="14">
        <v>1</v>
      </c>
      <c r="AH96" s="14">
        <v>0</v>
      </c>
      <c r="AI96" s="14">
        <v>0</v>
      </c>
      <c r="AJ96" s="14">
        <v>0</v>
      </c>
      <c r="AK96" s="18">
        <v>0</v>
      </c>
      <c r="AL96" s="7">
        <v>0</v>
      </c>
      <c r="AM96" s="17">
        <v>0</v>
      </c>
      <c r="AN96" s="4">
        <v>1</v>
      </c>
      <c r="AO96" s="7">
        <v>125519</v>
      </c>
      <c r="AP96" s="8">
        <v>1</v>
      </c>
      <c r="AQ96" s="7">
        <v>4677</v>
      </c>
      <c r="AR96" s="12">
        <v>3.73E-2</v>
      </c>
      <c r="AS96" s="4">
        <v>1</v>
      </c>
      <c r="AT96" s="7">
        <v>135124</v>
      </c>
      <c r="AU96" s="8">
        <v>5</v>
      </c>
      <c r="AV96" s="7">
        <v>24725</v>
      </c>
      <c r="AW96" s="12">
        <v>0.18298007755839082</v>
      </c>
      <c r="AX96" s="7">
        <v>18345</v>
      </c>
      <c r="AY96" s="12">
        <v>0.13576418696900625</v>
      </c>
      <c r="AZ96" s="14">
        <v>2</v>
      </c>
      <c r="BA96" s="14">
        <v>2</v>
      </c>
      <c r="BB96" s="14">
        <v>0</v>
      </c>
      <c r="BC96" s="14">
        <v>1</v>
      </c>
      <c r="BD96" s="14">
        <v>0</v>
      </c>
      <c r="BE96" s="14">
        <v>0</v>
      </c>
      <c r="BF96" s="14">
        <v>0</v>
      </c>
      <c r="BG96" s="18">
        <v>1</v>
      </c>
      <c r="BH96" s="7">
        <v>4150</v>
      </c>
      <c r="BI96" s="17">
        <v>3.0712530712530713E-2</v>
      </c>
      <c r="BJ96" s="1">
        <v>1</v>
      </c>
      <c r="BK96" s="7">
        <v>135124</v>
      </c>
      <c r="BL96" s="8">
        <v>7</v>
      </c>
      <c r="BM96" s="7">
        <v>44845</v>
      </c>
      <c r="BN96" s="12">
        <v>0.33188034694058788</v>
      </c>
      <c r="BO96" s="7">
        <v>13270</v>
      </c>
      <c r="BP96" s="12">
        <v>9.8199999999999996E-2</v>
      </c>
      <c r="BQ96" s="1"/>
      <c r="BR96" s="1"/>
      <c r="BS96" s="1"/>
      <c r="BT96" s="1"/>
      <c r="BU96" s="1"/>
      <c r="BV96" s="1"/>
      <c r="BW96" s="1"/>
      <c r="BX96" s="1"/>
      <c r="BY96" s="1"/>
      <c r="BZ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 spans="1:110">
      <c r="A97" s="10" t="s">
        <v>324</v>
      </c>
      <c r="B97" s="8" t="s">
        <v>30</v>
      </c>
      <c r="C97" s="1" t="s">
        <v>352</v>
      </c>
      <c r="D97" s="8" t="s">
        <v>21</v>
      </c>
      <c r="F97" s="2" t="s">
        <v>183</v>
      </c>
      <c r="G97" s="1" t="s">
        <v>23</v>
      </c>
      <c r="H97" s="4"/>
      <c r="I97" s="3"/>
      <c r="J97" s="1"/>
      <c r="K97" s="3"/>
      <c r="L97" s="13"/>
      <c r="M97" s="18"/>
      <c r="N97" s="18"/>
      <c r="O97" s="18"/>
      <c r="P97" s="18"/>
      <c r="Q97" s="18"/>
      <c r="R97" s="18"/>
      <c r="S97" s="18"/>
      <c r="T97" s="18"/>
      <c r="U97" s="3"/>
      <c r="V97" s="17"/>
      <c r="W97" s="4">
        <v>1</v>
      </c>
      <c r="X97" s="3">
        <v>46232</v>
      </c>
      <c r="Y97" s="1">
        <v>1</v>
      </c>
      <c r="Z97" s="3">
        <v>8657</v>
      </c>
      <c r="AA97" s="13">
        <v>0.18725125454230837</v>
      </c>
      <c r="AB97" s="3">
        <v>11343</v>
      </c>
      <c r="AC97" s="12">
        <v>0.24534954144315627</v>
      </c>
      <c r="AD97" s="14">
        <v>1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8">
        <v>0</v>
      </c>
      <c r="AL97" s="3">
        <v>0</v>
      </c>
      <c r="AM97" s="17">
        <v>0</v>
      </c>
      <c r="AN97" s="4">
        <v>1</v>
      </c>
      <c r="AO97" s="3">
        <v>61147</v>
      </c>
      <c r="AP97" s="1">
        <v>0</v>
      </c>
      <c r="AQ97" s="3">
        <v>0</v>
      </c>
      <c r="AR97" s="13">
        <v>0</v>
      </c>
      <c r="AS97" s="4">
        <v>1</v>
      </c>
      <c r="AT97" s="3">
        <v>74028</v>
      </c>
      <c r="AU97" s="1">
        <v>2</v>
      </c>
      <c r="AV97" s="3">
        <v>16750</v>
      </c>
      <c r="AW97" s="13">
        <v>0.2262657372885935</v>
      </c>
      <c r="AX97" s="3">
        <v>9380</v>
      </c>
      <c r="AY97" s="12">
        <v>0.12670881288161237</v>
      </c>
      <c r="AZ97" s="14">
        <v>0</v>
      </c>
      <c r="BA97" s="14">
        <v>1</v>
      </c>
      <c r="BB97" s="14">
        <v>0</v>
      </c>
      <c r="BC97" s="14">
        <v>1</v>
      </c>
      <c r="BD97" s="14">
        <v>0</v>
      </c>
      <c r="BE97" s="14">
        <v>0</v>
      </c>
      <c r="BF97" s="14">
        <v>0</v>
      </c>
      <c r="BG97" s="18">
        <v>0</v>
      </c>
      <c r="BH97" s="3">
        <v>0</v>
      </c>
      <c r="BI97" s="17">
        <v>0</v>
      </c>
      <c r="BJ97" s="1">
        <v>1</v>
      </c>
      <c r="BK97" s="3">
        <v>74028</v>
      </c>
      <c r="BL97" s="1">
        <v>5</v>
      </c>
      <c r="BM97" s="3">
        <v>34560</v>
      </c>
      <c r="BN97" s="13">
        <v>0.46685038093694275</v>
      </c>
      <c r="BO97" s="3">
        <v>6040</v>
      </c>
      <c r="BP97" s="12">
        <v>8.1600000000000006E-2</v>
      </c>
      <c r="BQ97" s="1"/>
      <c r="BR97" s="1"/>
      <c r="BS97" s="1"/>
      <c r="BT97" s="1"/>
      <c r="BU97" s="1"/>
      <c r="BV97" s="1"/>
      <c r="BW97" s="1"/>
      <c r="BX97" s="1"/>
      <c r="BY97" s="1"/>
      <c r="BZ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 spans="1:110">
      <c r="A98" s="10" t="s">
        <v>324</v>
      </c>
      <c r="B98" s="8" t="s">
        <v>30</v>
      </c>
      <c r="C98" s="8" t="s">
        <v>352</v>
      </c>
      <c r="D98" s="8" t="s">
        <v>21</v>
      </c>
      <c r="F98" s="10" t="s">
        <v>192</v>
      </c>
      <c r="G98" s="8" t="s">
        <v>24</v>
      </c>
      <c r="H98" s="4">
        <v>1</v>
      </c>
      <c r="I98" s="7">
        <v>50999</v>
      </c>
      <c r="J98" s="8">
        <v>4</v>
      </c>
      <c r="K98" s="7">
        <v>29210</v>
      </c>
      <c r="L98" s="12">
        <v>0.57279999999999998</v>
      </c>
      <c r="M98" s="18">
        <v>0</v>
      </c>
      <c r="N98" s="18">
        <v>0</v>
      </c>
      <c r="O98" s="18">
        <v>0</v>
      </c>
      <c r="P98" s="18">
        <v>3</v>
      </c>
      <c r="Q98" s="18">
        <v>0</v>
      </c>
      <c r="R98" s="18">
        <v>0</v>
      </c>
      <c r="S98" s="18">
        <v>1</v>
      </c>
      <c r="T98" s="18">
        <v>1</v>
      </c>
      <c r="U98" s="7">
        <v>7396</v>
      </c>
      <c r="V98" s="17">
        <v>0.14502245142061609</v>
      </c>
      <c r="W98" s="4">
        <v>1</v>
      </c>
      <c r="X98" s="7">
        <v>57142</v>
      </c>
      <c r="Y98" s="8">
        <v>3</v>
      </c>
      <c r="Z98" s="7">
        <v>16353</v>
      </c>
      <c r="AA98" s="12">
        <v>0.28618179272689093</v>
      </c>
      <c r="AB98" s="7">
        <v>25485</v>
      </c>
      <c r="AC98" s="12">
        <v>0.44599418991284867</v>
      </c>
      <c r="AD98" s="14">
        <v>0</v>
      </c>
      <c r="AE98" s="14">
        <v>1</v>
      </c>
      <c r="AF98" s="14">
        <v>0</v>
      </c>
      <c r="AG98" s="14">
        <v>1</v>
      </c>
      <c r="AH98" s="14">
        <v>0</v>
      </c>
      <c r="AI98" s="14">
        <v>0</v>
      </c>
      <c r="AJ98" s="14">
        <v>1</v>
      </c>
      <c r="AK98" s="18">
        <v>0</v>
      </c>
      <c r="AL98" s="7">
        <v>0</v>
      </c>
      <c r="AM98" s="17">
        <v>0</v>
      </c>
      <c r="AN98" s="4">
        <v>1</v>
      </c>
      <c r="AO98" s="7">
        <v>67697</v>
      </c>
      <c r="AP98" s="8">
        <v>0</v>
      </c>
      <c r="AQ98" s="7">
        <v>0</v>
      </c>
      <c r="AR98" s="12">
        <v>0</v>
      </c>
      <c r="AS98" s="4">
        <v>1</v>
      </c>
      <c r="AT98" s="7">
        <v>76922</v>
      </c>
      <c r="AU98" s="8">
        <v>5</v>
      </c>
      <c r="AV98" s="7">
        <v>33190</v>
      </c>
      <c r="AW98" s="12">
        <v>0.43147604066456929</v>
      </c>
      <c r="AX98" s="7">
        <v>18295</v>
      </c>
      <c r="AY98" s="12">
        <v>0.23783832973661631</v>
      </c>
      <c r="AZ98" s="14">
        <v>0</v>
      </c>
      <c r="BA98" s="14">
        <v>2</v>
      </c>
      <c r="BB98" s="14">
        <v>0</v>
      </c>
      <c r="BC98" s="14">
        <v>3</v>
      </c>
      <c r="BD98" s="14">
        <v>0</v>
      </c>
      <c r="BE98" s="14">
        <v>0</v>
      </c>
      <c r="BF98" s="14">
        <v>0</v>
      </c>
      <c r="BG98" s="18">
        <v>0</v>
      </c>
      <c r="BH98" s="7">
        <v>0</v>
      </c>
      <c r="BI98" s="17">
        <v>0</v>
      </c>
      <c r="BJ98" s="1">
        <v>1</v>
      </c>
      <c r="BK98" s="7">
        <v>76922</v>
      </c>
      <c r="BL98" s="8">
        <v>0</v>
      </c>
      <c r="BM98" s="7">
        <v>0</v>
      </c>
      <c r="BN98" s="12">
        <v>0</v>
      </c>
      <c r="BO98" s="7">
        <v>3765</v>
      </c>
      <c r="BP98" s="12">
        <v>4.8899999999999999E-2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 spans="1:110">
      <c r="A99" s="10" t="s">
        <v>324</v>
      </c>
      <c r="B99" s="8" t="s">
        <v>30</v>
      </c>
      <c r="C99" s="1" t="s">
        <v>352</v>
      </c>
      <c r="D99" s="8" t="s">
        <v>21</v>
      </c>
      <c r="F99" s="2" t="s">
        <v>190</v>
      </c>
      <c r="G99" s="1" t="s">
        <v>25</v>
      </c>
      <c r="H99" s="4"/>
      <c r="I99" s="3"/>
      <c r="J99" s="1"/>
      <c r="K99" s="3"/>
      <c r="L99" s="13"/>
      <c r="M99" s="18"/>
      <c r="N99" s="18"/>
      <c r="O99" s="18"/>
      <c r="P99" s="18"/>
      <c r="Q99" s="18"/>
      <c r="R99" s="18"/>
      <c r="S99" s="18"/>
      <c r="T99" s="18"/>
      <c r="U99" s="3"/>
      <c r="V99" s="17"/>
      <c r="W99" s="4">
        <v>1</v>
      </c>
      <c r="X99" s="3">
        <v>44772</v>
      </c>
      <c r="Y99" s="1">
        <v>3</v>
      </c>
      <c r="Z99" s="3">
        <v>15803</v>
      </c>
      <c r="AA99" s="13">
        <v>0.35296613955150541</v>
      </c>
      <c r="AB99" s="3">
        <v>10688</v>
      </c>
      <c r="AC99" s="12">
        <v>0.23872062896453142</v>
      </c>
      <c r="AD99" s="14">
        <v>0</v>
      </c>
      <c r="AE99" s="14">
        <v>3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8">
        <v>0</v>
      </c>
      <c r="AL99" s="3">
        <v>0</v>
      </c>
      <c r="AM99" s="17">
        <v>0</v>
      </c>
      <c r="AN99" s="4">
        <v>1</v>
      </c>
      <c r="AO99" s="3">
        <v>58683</v>
      </c>
      <c r="AP99" s="1">
        <v>1</v>
      </c>
      <c r="AQ99" s="3">
        <v>14226</v>
      </c>
      <c r="AR99" s="13">
        <v>0.2424</v>
      </c>
      <c r="AS99" s="4">
        <v>1</v>
      </c>
      <c r="AT99" s="3">
        <v>66270</v>
      </c>
      <c r="AU99" s="1">
        <v>4</v>
      </c>
      <c r="AV99" s="3">
        <v>27640</v>
      </c>
      <c r="AW99" s="13">
        <v>0.41708163573260904</v>
      </c>
      <c r="AX99" s="3">
        <v>4330</v>
      </c>
      <c r="AY99" s="12">
        <v>6.5338765655651124E-2</v>
      </c>
      <c r="AZ99" s="14">
        <v>1</v>
      </c>
      <c r="BA99" s="14">
        <v>2</v>
      </c>
      <c r="BB99" s="14">
        <v>1</v>
      </c>
      <c r="BC99" s="14">
        <v>0</v>
      </c>
      <c r="BD99" s="14">
        <v>0</v>
      </c>
      <c r="BE99" s="14">
        <v>0</v>
      </c>
      <c r="BF99" s="14">
        <v>0</v>
      </c>
      <c r="BG99" s="18">
        <v>0</v>
      </c>
      <c r="BH99" s="3">
        <v>0</v>
      </c>
      <c r="BI99" s="17">
        <v>0</v>
      </c>
      <c r="BJ99" s="1">
        <v>1</v>
      </c>
      <c r="BK99" s="3">
        <v>66270</v>
      </c>
      <c r="BL99" s="1">
        <v>4</v>
      </c>
      <c r="BM99" s="3">
        <v>31310</v>
      </c>
      <c r="BN99" s="13">
        <v>0.47246114380564358</v>
      </c>
      <c r="BO99" s="3">
        <v>4865</v>
      </c>
      <c r="BP99" s="12">
        <v>7.3400000000000007E-2</v>
      </c>
      <c r="BQ99" s="1"/>
      <c r="BR99" s="1"/>
      <c r="BS99" s="1"/>
      <c r="BT99" s="1"/>
      <c r="BU99" s="1"/>
      <c r="BV99" s="1"/>
      <c r="BW99" s="1"/>
      <c r="BX99" s="1"/>
      <c r="BY99" s="1"/>
      <c r="BZ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 spans="1:110">
      <c r="A100" s="10" t="s">
        <v>337</v>
      </c>
      <c r="B100" s="8" t="s">
        <v>160</v>
      </c>
      <c r="C100" s="8" t="s">
        <v>353</v>
      </c>
      <c r="D100" s="8" t="s">
        <v>150</v>
      </c>
      <c r="F100" s="10" t="s">
        <v>298</v>
      </c>
      <c r="G100" s="8" t="s">
        <v>147</v>
      </c>
      <c r="H100" s="4">
        <v>1</v>
      </c>
      <c r="I100" s="7">
        <v>168023</v>
      </c>
      <c r="J100" s="8">
        <v>3</v>
      </c>
      <c r="K100" s="7">
        <v>20695</v>
      </c>
      <c r="L100" s="12">
        <v>0.1232</v>
      </c>
      <c r="M100" s="18">
        <v>0</v>
      </c>
      <c r="N100" s="18">
        <v>1</v>
      </c>
      <c r="O100" s="18">
        <v>0</v>
      </c>
      <c r="P100" s="18">
        <v>1</v>
      </c>
      <c r="Q100" s="18">
        <v>1</v>
      </c>
      <c r="R100" s="18">
        <v>0</v>
      </c>
      <c r="S100" s="18">
        <v>0</v>
      </c>
      <c r="T100" s="18">
        <v>0</v>
      </c>
      <c r="U100" s="7">
        <v>0</v>
      </c>
      <c r="V100" s="17">
        <v>0</v>
      </c>
      <c r="W100" s="4">
        <v>1</v>
      </c>
      <c r="X100" s="7">
        <v>184686</v>
      </c>
      <c r="Y100" s="8">
        <v>6</v>
      </c>
      <c r="Z100" s="7">
        <v>29523</v>
      </c>
      <c r="AA100" s="12">
        <v>0.15985510542217601</v>
      </c>
      <c r="AB100" s="7">
        <v>33938</v>
      </c>
      <c r="AC100" s="12">
        <v>0.18376054492489957</v>
      </c>
      <c r="AD100" s="14">
        <v>2</v>
      </c>
      <c r="AE100" s="14">
        <v>1</v>
      </c>
      <c r="AF100" s="14">
        <v>1</v>
      </c>
      <c r="AG100" s="14">
        <v>1</v>
      </c>
      <c r="AH100" s="14">
        <v>1</v>
      </c>
      <c r="AI100" s="14">
        <v>0</v>
      </c>
      <c r="AJ100" s="14">
        <v>0</v>
      </c>
      <c r="AK100" s="18">
        <v>0</v>
      </c>
      <c r="AL100" s="7">
        <v>0</v>
      </c>
      <c r="AM100" s="17">
        <v>0</v>
      </c>
      <c r="AN100" s="4">
        <v>1</v>
      </c>
      <c r="AO100" s="7">
        <v>208609</v>
      </c>
      <c r="AP100" s="8">
        <v>2</v>
      </c>
      <c r="AQ100" s="7">
        <v>14773</v>
      </c>
      <c r="AR100" s="12">
        <v>7.0800000000000002E-2</v>
      </c>
      <c r="AS100" s="4">
        <v>1</v>
      </c>
      <c r="AT100" s="7">
        <v>215757</v>
      </c>
      <c r="AU100" s="8">
        <v>14</v>
      </c>
      <c r="AV100" s="7">
        <v>81675</v>
      </c>
      <c r="AW100" s="12">
        <v>0.37855086972844448</v>
      </c>
      <c r="AX100" s="7">
        <v>36670</v>
      </c>
      <c r="AY100" s="12">
        <v>0.16995972320712655</v>
      </c>
      <c r="AZ100" s="14">
        <v>4</v>
      </c>
      <c r="BA100" s="14">
        <v>3</v>
      </c>
      <c r="BB100" s="14">
        <v>4</v>
      </c>
      <c r="BC100" s="14">
        <v>2</v>
      </c>
      <c r="BD100" s="14">
        <v>1</v>
      </c>
      <c r="BE100" s="14">
        <v>0</v>
      </c>
      <c r="BF100" s="14">
        <v>0</v>
      </c>
      <c r="BG100" s="18">
        <v>0</v>
      </c>
      <c r="BH100" s="7">
        <v>0</v>
      </c>
      <c r="BI100" s="17">
        <v>0</v>
      </c>
      <c r="BJ100" s="1">
        <v>1</v>
      </c>
      <c r="BK100" s="7">
        <v>215757</v>
      </c>
      <c r="BL100" s="8">
        <v>4</v>
      </c>
      <c r="BM100" s="7">
        <v>22620</v>
      </c>
      <c r="BN100" s="12">
        <v>0.1048401674105591</v>
      </c>
      <c r="BO100" s="7">
        <v>21190</v>
      </c>
      <c r="BP100" s="12">
        <v>9.8199999999999996E-2</v>
      </c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 spans="1:110">
      <c r="A101" s="10" t="s">
        <v>337</v>
      </c>
      <c r="B101" s="8" t="s">
        <v>160</v>
      </c>
      <c r="C101" s="8" t="s">
        <v>353</v>
      </c>
      <c r="D101" s="8" t="s">
        <v>150</v>
      </c>
      <c r="F101" s="10" t="s">
        <v>299</v>
      </c>
      <c r="G101" s="8" t="s">
        <v>148</v>
      </c>
      <c r="H101" s="4">
        <v>1</v>
      </c>
      <c r="I101" s="7">
        <v>65919</v>
      </c>
      <c r="J101" s="8">
        <v>3</v>
      </c>
      <c r="K101" s="7">
        <v>25803</v>
      </c>
      <c r="L101" s="12">
        <v>0.39140000000000003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2</v>
      </c>
      <c r="S101" s="18">
        <v>1</v>
      </c>
      <c r="T101" s="18">
        <v>1</v>
      </c>
      <c r="U101" s="7">
        <v>6760</v>
      </c>
      <c r="V101" s="17">
        <v>0.10255009936437143</v>
      </c>
      <c r="W101" s="4">
        <v>1</v>
      </c>
      <c r="X101" s="7">
        <v>77477</v>
      </c>
      <c r="Y101" s="8">
        <v>2</v>
      </c>
      <c r="Z101" s="7">
        <v>12868</v>
      </c>
      <c r="AA101" s="12">
        <v>0.16608800030976936</v>
      </c>
      <c r="AB101" s="7">
        <v>28908</v>
      </c>
      <c r="AC101" s="12">
        <v>0.3731171831640358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2</v>
      </c>
      <c r="AJ101" s="14">
        <v>0</v>
      </c>
      <c r="AK101" s="18">
        <v>1</v>
      </c>
      <c r="AL101" s="7">
        <v>6185</v>
      </c>
      <c r="AM101" s="17">
        <v>7.9830143139254225E-2</v>
      </c>
      <c r="AN101" s="4">
        <v>1</v>
      </c>
      <c r="AO101" s="7">
        <v>89936</v>
      </c>
      <c r="AP101" s="8">
        <v>2</v>
      </c>
      <c r="AQ101" s="7">
        <v>17565</v>
      </c>
      <c r="AR101" s="12">
        <v>0.1953</v>
      </c>
      <c r="AS101" s="4">
        <v>1</v>
      </c>
      <c r="AT101" s="7">
        <v>91849</v>
      </c>
      <c r="AU101" s="8">
        <v>4</v>
      </c>
      <c r="AV101" s="7">
        <v>40805</v>
      </c>
      <c r="AW101" s="12">
        <v>0.44426177748260731</v>
      </c>
      <c r="AX101" s="7">
        <v>29485</v>
      </c>
      <c r="AY101" s="12">
        <v>0.32101601541660768</v>
      </c>
      <c r="AZ101" s="14">
        <v>3</v>
      </c>
      <c r="BA101" s="14">
        <v>0</v>
      </c>
      <c r="BB101" s="14">
        <v>1</v>
      </c>
      <c r="BC101" s="14">
        <v>0</v>
      </c>
      <c r="BD101" s="14">
        <v>0</v>
      </c>
      <c r="BE101" s="14">
        <v>0</v>
      </c>
      <c r="BF101" s="14">
        <v>0</v>
      </c>
      <c r="BG101" s="18">
        <v>0</v>
      </c>
      <c r="BH101" s="7">
        <v>0</v>
      </c>
      <c r="BI101" s="17">
        <v>0</v>
      </c>
      <c r="BJ101" s="1">
        <v>1</v>
      </c>
      <c r="BK101" s="7">
        <v>91849</v>
      </c>
      <c r="BL101" s="8">
        <v>4</v>
      </c>
      <c r="BM101" s="7">
        <v>38380</v>
      </c>
      <c r="BN101" s="12">
        <v>0.41785974806475845</v>
      </c>
      <c r="BO101" s="7">
        <v>5570</v>
      </c>
      <c r="BP101" s="12">
        <v>6.0600000000000001E-2</v>
      </c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 spans="1:110">
      <c r="A102" s="2" t="s">
        <v>337</v>
      </c>
      <c r="B102" s="1" t="s">
        <v>160</v>
      </c>
      <c r="C102" s="1" t="s">
        <v>353</v>
      </c>
      <c r="D102" s="8" t="s">
        <v>150</v>
      </c>
      <c r="E102" s="1"/>
      <c r="F102" s="2" t="s">
        <v>300</v>
      </c>
      <c r="G102" s="1" t="s">
        <v>149</v>
      </c>
      <c r="H102" s="4"/>
      <c r="I102" s="3"/>
      <c r="J102" s="1"/>
      <c r="K102" s="3"/>
      <c r="L102" s="13"/>
      <c r="M102" s="18"/>
      <c r="N102" s="18"/>
      <c r="O102" s="18"/>
      <c r="P102" s="18"/>
      <c r="Q102" s="18"/>
      <c r="R102" s="18"/>
      <c r="S102" s="18"/>
      <c r="T102" s="18"/>
      <c r="U102" s="3"/>
      <c r="V102" s="17"/>
      <c r="W102" s="4">
        <v>1</v>
      </c>
      <c r="X102" s="3">
        <v>46905</v>
      </c>
      <c r="Y102" s="1">
        <v>2</v>
      </c>
      <c r="Z102" s="3">
        <v>10476</v>
      </c>
      <c r="AA102" s="13">
        <v>0.22334505916213623</v>
      </c>
      <c r="AB102" s="3">
        <v>3721</v>
      </c>
      <c r="AC102" s="12">
        <v>7.9330561773798103E-2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2</v>
      </c>
      <c r="AJ102" s="14">
        <v>0</v>
      </c>
      <c r="AK102" s="18">
        <v>0</v>
      </c>
      <c r="AL102" s="3">
        <v>0</v>
      </c>
      <c r="AM102" s="17">
        <v>0</v>
      </c>
      <c r="AN102" s="4">
        <v>1</v>
      </c>
      <c r="AO102" s="3">
        <v>57431</v>
      </c>
      <c r="AP102" s="1">
        <v>1</v>
      </c>
      <c r="AQ102" s="3">
        <v>7163</v>
      </c>
      <c r="AR102" s="13">
        <v>0.12470000000000001</v>
      </c>
      <c r="AS102" s="4">
        <v>1</v>
      </c>
      <c r="AT102" s="3">
        <v>66771</v>
      </c>
      <c r="AU102" s="1">
        <v>4</v>
      </c>
      <c r="AV102" s="3">
        <v>23950</v>
      </c>
      <c r="AW102" s="13">
        <v>0.35868865225921431</v>
      </c>
      <c r="AX102" s="3">
        <v>9435</v>
      </c>
      <c r="AY102" s="12">
        <v>0.1413038594599452</v>
      </c>
      <c r="AZ102" s="14">
        <v>4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8">
        <v>0</v>
      </c>
      <c r="BH102" s="3">
        <v>0</v>
      </c>
      <c r="BI102" s="17">
        <v>0</v>
      </c>
      <c r="BJ102" s="1">
        <v>1</v>
      </c>
      <c r="BK102" s="3">
        <v>66771</v>
      </c>
      <c r="BL102" s="1">
        <v>2</v>
      </c>
      <c r="BM102" s="3">
        <v>19340</v>
      </c>
      <c r="BN102" s="13">
        <v>0.28964670290994593</v>
      </c>
      <c r="BO102" s="3">
        <v>5120</v>
      </c>
      <c r="BP102" s="12">
        <v>7.6700000000000004E-2</v>
      </c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</row>
    <row r="103" spans="1:110">
      <c r="A103" s="10" t="s">
        <v>337</v>
      </c>
      <c r="B103" s="8" t="s">
        <v>160</v>
      </c>
      <c r="C103" s="8" t="s">
        <v>353</v>
      </c>
      <c r="D103" s="8" t="s">
        <v>150</v>
      </c>
      <c r="E103" s="8">
        <v>1</v>
      </c>
      <c r="F103" s="10" t="s">
        <v>301</v>
      </c>
      <c r="G103" s="8" t="s">
        <v>150</v>
      </c>
      <c r="H103" s="4">
        <v>1</v>
      </c>
      <c r="I103" s="7">
        <v>168023</v>
      </c>
      <c r="J103" s="8">
        <v>1</v>
      </c>
      <c r="K103" s="7">
        <v>7849</v>
      </c>
      <c r="L103" s="12">
        <v>4.6699999999999998E-2</v>
      </c>
      <c r="M103" s="18">
        <v>0</v>
      </c>
      <c r="N103" s="18">
        <v>1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7">
        <v>0</v>
      </c>
      <c r="V103" s="17">
        <v>0</v>
      </c>
      <c r="W103" s="4">
        <v>1</v>
      </c>
      <c r="X103" s="7">
        <v>370745</v>
      </c>
      <c r="Y103" s="8">
        <v>5</v>
      </c>
      <c r="Z103" s="7">
        <v>24381</v>
      </c>
      <c r="AA103" s="12">
        <v>6.5762181553358778E-2</v>
      </c>
      <c r="AB103" s="7">
        <v>51558</v>
      </c>
      <c r="AC103" s="12">
        <v>0.13906593480694276</v>
      </c>
      <c r="AD103" s="14">
        <v>3</v>
      </c>
      <c r="AE103" s="14">
        <v>0</v>
      </c>
      <c r="AF103" s="14">
        <v>1</v>
      </c>
      <c r="AG103" s="14">
        <v>0</v>
      </c>
      <c r="AH103" s="14">
        <v>0</v>
      </c>
      <c r="AI103" s="14">
        <v>1</v>
      </c>
      <c r="AJ103" s="14">
        <v>0</v>
      </c>
      <c r="AK103" s="18">
        <v>0</v>
      </c>
      <c r="AL103" s="7">
        <v>0</v>
      </c>
      <c r="AM103" s="17">
        <v>0</v>
      </c>
      <c r="AN103" s="4">
        <v>1</v>
      </c>
      <c r="AO103" s="7">
        <v>416996</v>
      </c>
      <c r="AP103" s="8">
        <v>6</v>
      </c>
      <c r="AQ103" s="7">
        <v>36635</v>
      </c>
      <c r="AR103" s="12">
        <v>8.7900000000000006E-2</v>
      </c>
      <c r="AS103" s="4">
        <v>1</v>
      </c>
      <c r="AT103" s="7">
        <v>437667</v>
      </c>
      <c r="AU103" s="8">
        <v>12</v>
      </c>
      <c r="AV103" s="7">
        <v>68005</v>
      </c>
      <c r="AW103" s="12">
        <v>0.15538068897129553</v>
      </c>
      <c r="AX103" s="7">
        <v>103775</v>
      </c>
      <c r="AY103" s="12">
        <v>0.2371094919196558</v>
      </c>
      <c r="AZ103" s="14">
        <v>5</v>
      </c>
      <c r="BA103" s="14">
        <v>3</v>
      </c>
      <c r="BB103" s="14">
        <v>0</v>
      </c>
      <c r="BC103" s="14">
        <v>1</v>
      </c>
      <c r="BD103" s="14">
        <v>1</v>
      </c>
      <c r="BE103" s="14">
        <v>1</v>
      </c>
      <c r="BF103" s="14">
        <v>1</v>
      </c>
      <c r="BG103" s="18">
        <v>2</v>
      </c>
      <c r="BH103" s="7">
        <v>12645</v>
      </c>
      <c r="BI103" s="17">
        <v>2.8891828719094653E-2</v>
      </c>
      <c r="BJ103" s="1">
        <v>1</v>
      </c>
      <c r="BK103" s="7">
        <v>437667</v>
      </c>
      <c r="BL103" s="8">
        <v>12</v>
      </c>
      <c r="BM103" s="7">
        <v>67995</v>
      </c>
      <c r="BN103" s="12">
        <v>0.1553578405500072</v>
      </c>
      <c r="BO103" s="7">
        <v>30555</v>
      </c>
      <c r="BP103" s="12">
        <v>6.9800000000000001E-2</v>
      </c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</row>
    <row r="104" spans="1:110">
      <c r="A104" s="10" t="s">
        <v>338</v>
      </c>
      <c r="B104" s="8" t="s">
        <v>162</v>
      </c>
      <c r="C104" s="8" t="s">
        <v>354</v>
      </c>
      <c r="D104" t="s">
        <v>380</v>
      </c>
      <c r="E104" s="8">
        <v>1</v>
      </c>
      <c r="F104" s="10" t="s">
        <v>302</v>
      </c>
      <c r="G104" s="8" t="s">
        <v>151</v>
      </c>
      <c r="H104" s="4">
        <v>1</v>
      </c>
      <c r="I104" s="7">
        <v>180372</v>
      </c>
      <c r="J104" s="8">
        <v>2</v>
      </c>
      <c r="K104" s="7">
        <v>18918</v>
      </c>
      <c r="L104" s="12">
        <v>0.10489999999999999</v>
      </c>
      <c r="M104" s="18">
        <v>0</v>
      </c>
      <c r="N104" s="18">
        <v>0</v>
      </c>
      <c r="O104" s="18">
        <v>2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7">
        <v>0</v>
      </c>
      <c r="V104" s="17">
        <v>0</v>
      </c>
      <c r="W104" s="4">
        <v>1</v>
      </c>
      <c r="X104" s="7">
        <v>183964</v>
      </c>
      <c r="Y104" s="8">
        <v>3</v>
      </c>
      <c r="Z104" s="7">
        <v>22368</v>
      </c>
      <c r="AA104" s="12">
        <v>0.12158900654475875</v>
      </c>
      <c r="AB104" s="7">
        <v>16163</v>
      </c>
      <c r="AC104" s="12">
        <v>8.785958122241308E-2</v>
      </c>
      <c r="AD104" s="14">
        <v>0</v>
      </c>
      <c r="AE104" s="14">
        <v>0</v>
      </c>
      <c r="AF104" s="14">
        <v>3</v>
      </c>
      <c r="AG104" s="14">
        <v>0</v>
      </c>
      <c r="AH104" s="14">
        <v>0</v>
      </c>
      <c r="AI104" s="14">
        <v>0</v>
      </c>
      <c r="AJ104" s="14">
        <v>0</v>
      </c>
      <c r="AK104" s="18">
        <v>0</v>
      </c>
      <c r="AL104" s="7">
        <v>0</v>
      </c>
      <c r="AM104" s="17">
        <v>0</v>
      </c>
      <c r="AN104" s="4">
        <v>1</v>
      </c>
      <c r="AO104" s="7">
        <v>195769</v>
      </c>
      <c r="AP104" s="8">
        <v>1</v>
      </c>
      <c r="AQ104" s="7">
        <v>3920</v>
      </c>
      <c r="AR104" s="12">
        <v>0.02</v>
      </c>
      <c r="AS104" s="4">
        <v>1</v>
      </c>
      <c r="AT104" s="7">
        <v>195943</v>
      </c>
      <c r="AU104" s="8">
        <v>1</v>
      </c>
      <c r="AV104" s="7">
        <v>4385</v>
      </c>
      <c r="AW104" s="12">
        <v>2.2378957145700536E-2</v>
      </c>
      <c r="AX104" s="7">
        <v>6935</v>
      </c>
      <c r="AY104" s="12">
        <v>3.5392945907738477E-2</v>
      </c>
      <c r="AZ104" s="14">
        <v>0</v>
      </c>
      <c r="BA104" s="14">
        <v>1</v>
      </c>
      <c r="BB104" s="14">
        <v>0</v>
      </c>
      <c r="BC104" s="14">
        <v>0</v>
      </c>
      <c r="BD104" s="14">
        <v>0</v>
      </c>
      <c r="BE104" s="14">
        <v>0</v>
      </c>
      <c r="BF104" s="14">
        <v>0</v>
      </c>
      <c r="BG104" s="18">
        <v>0</v>
      </c>
      <c r="BH104" s="7">
        <v>0</v>
      </c>
      <c r="BI104" s="17">
        <v>0</v>
      </c>
      <c r="BJ104" s="1">
        <v>1</v>
      </c>
      <c r="BK104" s="7">
        <v>195943</v>
      </c>
      <c r="BL104" s="8">
        <v>6</v>
      </c>
      <c r="BM104" s="7">
        <v>40025</v>
      </c>
      <c r="BN104" s="12">
        <v>0.20426858831394845</v>
      </c>
      <c r="BO104" s="7">
        <v>18030</v>
      </c>
      <c r="BP104" s="12">
        <v>9.1999999999999998E-2</v>
      </c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</row>
    <row r="105" spans="1:110">
      <c r="A105" s="10" t="s">
        <v>335</v>
      </c>
      <c r="B105" s="8" t="s">
        <v>137</v>
      </c>
      <c r="C105" s="8" t="s">
        <v>355</v>
      </c>
      <c r="D105" s="8" t="s">
        <v>119</v>
      </c>
      <c r="E105" s="8">
        <v>1</v>
      </c>
      <c r="F105" s="10" t="s">
        <v>266</v>
      </c>
      <c r="G105" s="8" t="s">
        <v>119</v>
      </c>
      <c r="H105" s="4">
        <v>1</v>
      </c>
      <c r="I105" s="7">
        <v>102758</v>
      </c>
      <c r="J105" s="8">
        <v>2</v>
      </c>
      <c r="K105" s="7">
        <v>12535</v>
      </c>
      <c r="L105" s="12">
        <v>0.122</v>
      </c>
      <c r="M105" s="18">
        <v>0</v>
      </c>
      <c r="N105" s="18">
        <v>0</v>
      </c>
      <c r="O105" s="18">
        <v>1</v>
      </c>
      <c r="P105" s="18">
        <v>0</v>
      </c>
      <c r="Q105" s="18">
        <v>0</v>
      </c>
      <c r="R105" s="18">
        <v>1</v>
      </c>
      <c r="S105" s="18">
        <v>0</v>
      </c>
      <c r="T105" s="18">
        <v>1</v>
      </c>
      <c r="U105" s="7">
        <v>6738</v>
      </c>
      <c r="V105" s="17">
        <v>6.5571537009283948E-2</v>
      </c>
      <c r="W105" s="4">
        <v>1</v>
      </c>
      <c r="X105" s="7">
        <v>107510</v>
      </c>
      <c r="Y105" s="8">
        <v>0</v>
      </c>
      <c r="Z105" s="7">
        <v>0</v>
      </c>
      <c r="AA105" s="12">
        <v>0</v>
      </c>
      <c r="AB105" s="7">
        <v>17568</v>
      </c>
      <c r="AC105" s="12">
        <v>0.16340805506464515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18">
        <v>0</v>
      </c>
      <c r="AL105" s="7">
        <v>0</v>
      </c>
      <c r="AM105" s="17">
        <v>0</v>
      </c>
      <c r="AN105" s="4">
        <v>1</v>
      </c>
      <c r="AO105" s="7">
        <v>108137</v>
      </c>
      <c r="AP105" s="8">
        <v>0</v>
      </c>
      <c r="AQ105" s="7">
        <v>0</v>
      </c>
      <c r="AR105" s="12">
        <v>0</v>
      </c>
      <c r="AS105" s="4">
        <v>1</v>
      </c>
      <c r="AT105" s="7">
        <v>107314</v>
      </c>
      <c r="AU105" s="8">
        <v>2</v>
      </c>
      <c r="AV105" s="7">
        <v>13185</v>
      </c>
      <c r="AW105" s="12">
        <v>0.12286374564362525</v>
      </c>
      <c r="AX105" s="7">
        <v>18070</v>
      </c>
      <c r="AY105" s="12">
        <v>0.16838436737052015</v>
      </c>
      <c r="AZ105" s="8">
        <v>0</v>
      </c>
      <c r="BA105" s="8">
        <v>0</v>
      </c>
      <c r="BB105" s="8">
        <v>2</v>
      </c>
      <c r="BC105" s="8">
        <v>0</v>
      </c>
      <c r="BD105" s="8">
        <v>0</v>
      </c>
      <c r="BE105" s="8">
        <v>0</v>
      </c>
      <c r="BF105" s="8">
        <v>0</v>
      </c>
      <c r="BG105" s="18">
        <v>0</v>
      </c>
      <c r="BH105" s="7">
        <v>0</v>
      </c>
      <c r="BI105" s="17">
        <v>0</v>
      </c>
      <c r="BJ105" s="1">
        <v>1</v>
      </c>
      <c r="BK105" s="7">
        <v>107314</v>
      </c>
      <c r="BL105" s="8">
        <v>0</v>
      </c>
      <c r="BM105" s="7">
        <v>0</v>
      </c>
      <c r="BN105" s="12">
        <v>0</v>
      </c>
      <c r="BO105" s="7">
        <v>5295</v>
      </c>
      <c r="BP105" s="12">
        <v>4.9299999999999997E-2</v>
      </c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</row>
    <row r="106" spans="1:110">
      <c r="A106" s="10" t="s">
        <v>326</v>
      </c>
      <c r="B106" s="8" t="s">
        <v>66</v>
      </c>
      <c r="C106" s="8" t="s">
        <v>356</v>
      </c>
      <c r="D106" s="8" t="s">
        <v>377</v>
      </c>
      <c r="F106" s="10" t="s">
        <v>196</v>
      </c>
      <c r="G106" s="8" t="s">
        <v>35</v>
      </c>
      <c r="H106" s="4">
        <v>1</v>
      </c>
      <c r="I106" s="7">
        <v>85351</v>
      </c>
      <c r="J106" s="8">
        <v>3</v>
      </c>
      <c r="K106" s="7">
        <v>15411</v>
      </c>
      <c r="L106" s="12">
        <v>0.18060000000000001</v>
      </c>
      <c r="M106" s="18">
        <v>0</v>
      </c>
      <c r="N106" s="18">
        <v>3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7">
        <v>0</v>
      </c>
      <c r="V106" s="17">
        <v>0</v>
      </c>
      <c r="W106" s="4">
        <v>1</v>
      </c>
      <c r="X106" s="7">
        <v>83185</v>
      </c>
      <c r="Y106" s="8">
        <v>2</v>
      </c>
      <c r="Z106" s="7">
        <v>8642</v>
      </c>
      <c r="AA106" s="12">
        <v>0.10388892228166136</v>
      </c>
      <c r="AB106" s="7">
        <v>9933</v>
      </c>
      <c r="AC106" s="12">
        <v>0.119408547214041</v>
      </c>
      <c r="AD106" s="14">
        <v>0</v>
      </c>
      <c r="AE106" s="14">
        <v>0</v>
      </c>
      <c r="AF106" s="14">
        <v>2</v>
      </c>
      <c r="AG106" s="14">
        <v>0</v>
      </c>
      <c r="AH106" s="14">
        <v>0</v>
      </c>
      <c r="AI106" s="14">
        <v>0</v>
      </c>
      <c r="AJ106" s="14">
        <v>0</v>
      </c>
      <c r="AK106" s="18">
        <v>0</v>
      </c>
      <c r="AL106" s="7">
        <v>0</v>
      </c>
      <c r="AM106" s="17">
        <v>0</v>
      </c>
      <c r="AN106" s="4">
        <v>1</v>
      </c>
      <c r="AO106" s="7">
        <v>83538</v>
      </c>
      <c r="AP106" s="8">
        <v>0</v>
      </c>
      <c r="AQ106" s="7">
        <v>0</v>
      </c>
      <c r="AR106" s="12">
        <v>0</v>
      </c>
      <c r="AS106" s="4">
        <v>1</v>
      </c>
      <c r="AT106" s="7">
        <v>82938</v>
      </c>
      <c r="AU106" s="8">
        <v>3</v>
      </c>
      <c r="AV106" s="7">
        <v>12540</v>
      </c>
      <c r="AW106" s="12">
        <v>0.1507483320310152</v>
      </c>
      <c r="AX106" s="7">
        <v>18150</v>
      </c>
      <c r="AY106" s="12">
        <v>0.21883816827027419</v>
      </c>
      <c r="AZ106" s="14">
        <v>0</v>
      </c>
      <c r="BA106" s="14">
        <v>0</v>
      </c>
      <c r="BB106" s="14">
        <v>3</v>
      </c>
      <c r="BC106" s="14">
        <v>0</v>
      </c>
      <c r="BD106" s="14">
        <v>0</v>
      </c>
      <c r="BE106" s="14">
        <v>0</v>
      </c>
      <c r="BF106" s="14">
        <v>0</v>
      </c>
      <c r="BG106" s="18">
        <v>0</v>
      </c>
      <c r="BH106" s="7">
        <v>0</v>
      </c>
      <c r="BI106" s="17">
        <v>0</v>
      </c>
      <c r="BJ106" s="1">
        <v>1</v>
      </c>
      <c r="BK106" s="7">
        <v>82938</v>
      </c>
      <c r="BL106" s="8">
        <v>0</v>
      </c>
      <c r="BM106" s="7">
        <v>0</v>
      </c>
      <c r="BN106" s="12">
        <v>0</v>
      </c>
      <c r="BO106" s="7">
        <v>2005</v>
      </c>
      <c r="BP106" s="12">
        <v>2.4199999999999999E-2</v>
      </c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</row>
    <row r="107" spans="1:110">
      <c r="A107" s="10" t="s">
        <v>326</v>
      </c>
      <c r="B107" s="8" t="s">
        <v>66</v>
      </c>
      <c r="C107" s="8" t="s">
        <v>356</v>
      </c>
      <c r="D107" s="8" t="s">
        <v>377</v>
      </c>
      <c r="F107" s="10" t="s">
        <v>197</v>
      </c>
      <c r="G107" s="8" t="s">
        <v>36</v>
      </c>
      <c r="H107" s="4">
        <v>1</v>
      </c>
      <c r="I107" s="7">
        <v>259067</v>
      </c>
      <c r="J107" s="8">
        <v>2</v>
      </c>
      <c r="K107" s="7">
        <v>9834</v>
      </c>
      <c r="L107" s="12">
        <v>3.7999999999999999E-2</v>
      </c>
      <c r="M107" s="18">
        <v>0</v>
      </c>
      <c r="N107" s="18">
        <v>1</v>
      </c>
      <c r="O107" s="18">
        <v>0</v>
      </c>
      <c r="P107" s="18">
        <v>0</v>
      </c>
      <c r="Q107" s="18">
        <v>1</v>
      </c>
      <c r="R107" s="18">
        <v>0</v>
      </c>
      <c r="S107" s="18">
        <v>0</v>
      </c>
      <c r="T107" s="18">
        <v>0</v>
      </c>
      <c r="U107" s="7">
        <v>0</v>
      </c>
      <c r="V107" s="17">
        <v>0</v>
      </c>
      <c r="W107" s="4">
        <v>1</v>
      </c>
      <c r="X107" s="7">
        <v>266419</v>
      </c>
      <c r="Y107" s="8">
        <v>6</v>
      </c>
      <c r="Z107" s="7">
        <v>40444</v>
      </c>
      <c r="AA107" s="12">
        <v>0.15180598981303886</v>
      </c>
      <c r="AB107" s="7">
        <v>29607</v>
      </c>
      <c r="AC107" s="12">
        <v>0.11112946148735638</v>
      </c>
      <c r="AD107" s="14">
        <v>0</v>
      </c>
      <c r="AE107" s="14">
        <v>6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8">
        <v>0</v>
      </c>
      <c r="AL107" s="7">
        <v>0</v>
      </c>
      <c r="AM107" s="17">
        <v>0</v>
      </c>
      <c r="AN107" s="4">
        <v>1</v>
      </c>
      <c r="AO107" s="7">
        <v>274472</v>
      </c>
      <c r="AP107" s="8">
        <v>0</v>
      </c>
      <c r="AQ107" s="7">
        <v>0</v>
      </c>
      <c r="AR107" s="12">
        <v>0</v>
      </c>
      <c r="AS107" s="4">
        <v>1</v>
      </c>
      <c r="AT107" s="7">
        <v>276969</v>
      </c>
      <c r="AU107" s="8">
        <v>4</v>
      </c>
      <c r="AV107" s="7">
        <v>23950</v>
      </c>
      <c r="AW107" s="12">
        <v>8.6471771209052278E-2</v>
      </c>
      <c r="AX107" s="7">
        <v>29145</v>
      </c>
      <c r="AY107" s="12">
        <v>0.10522838295982583</v>
      </c>
      <c r="AZ107" s="14">
        <v>2</v>
      </c>
      <c r="BA107" s="14">
        <v>0</v>
      </c>
      <c r="BB107" s="14">
        <v>2</v>
      </c>
      <c r="BC107" s="14">
        <v>0</v>
      </c>
      <c r="BD107" s="14">
        <v>0</v>
      </c>
      <c r="BE107" s="14">
        <v>0</v>
      </c>
      <c r="BF107" s="14">
        <v>0</v>
      </c>
      <c r="BG107" s="18">
        <v>0</v>
      </c>
      <c r="BH107" s="7">
        <v>0</v>
      </c>
      <c r="BI107" s="17">
        <v>0</v>
      </c>
      <c r="BJ107" s="1">
        <v>1</v>
      </c>
      <c r="BK107" s="7">
        <v>276969</v>
      </c>
      <c r="BL107" s="8">
        <v>1</v>
      </c>
      <c r="BM107" s="7">
        <v>3435</v>
      </c>
      <c r="BN107" s="12">
        <v>1.2402109983427749E-2</v>
      </c>
      <c r="BO107" s="7">
        <v>10490</v>
      </c>
      <c r="BP107" s="12">
        <v>3.7900000000000003E-2</v>
      </c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</row>
    <row r="108" spans="1:110">
      <c r="A108" s="10" t="s">
        <v>326</v>
      </c>
      <c r="B108" s="8" t="s">
        <v>66</v>
      </c>
      <c r="C108" s="8" t="s">
        <v>356</v>
      </c>
      <c r="D108" s="8" t="s">
        <v>377</v>
      </c>
      <c r="F108" s="10" t="s">
        <v>314</v>
      </c>
      <c r="G108" s="8" t="s">
        <v>39</v>
      </c>
      <c r="H108" s="4">
        <v>1</v>
      </c>
      <c r="I108" s="8">
        <v>51710</v>
      </c>
      <c r="J108" s="8">
        <v>3</v>
      </c>
      <c r="K108" s="8">
        <v>14166</v>
      </c>
      <c r="L108" s="12">
        <v>0.27400000000000002</v>
      </c>
      <c r="M108" s="18">
        <v>0</v>
      </c>
      <c r="N108" s="18">
        <v>1</v>
      </c>
      <c r="O108" s="18">
        <v>1</v>
      </c>
      <c r="P108" s="18">
        <v>0</v>
      </c>
      <c r="Q108" s="18">
        <v>1</v>
      </c>
      <c r="R108" s="18">
        <v>0</v>
      </c>
      <c r="S108" s="18">
        <v>0</v>
      </c>
      <c r="T108" s="18">
        <v>0</v>
      </c>
      <c r="U108" s="8">
        <v>0</v>
      </c>
      <c r="V108" s="17">
        <v>0</v>
      </c>
      <c r="W108" s="4"/>
      <c r="AA108" s="12"/>
      <c r="AB108" s="8"/>
      <c r="AC108" s="12"/>
      <c r="AD108" s="14"/>
      <c r="AE108" s="14"/>
      <c r="AF108" s="14"/>
      <c r="AG108" s="14"/>
      <c r="AH108" s="14"/>
      <c r="AI108" s="14"/>
      <c r="AJ108" s="14"/>
      <c r="AK108" s="18"/>
      <c r="AM108" s="17"/>
      <c r="AN108" s="1"/>
      <c r="AR108" s="12"/>
      <c r="AS108" s="4"/>
      <c r="AW108" s="12"/>
      <c r="AX108" s="8"/>
      <c r="AY108" s="12"/>
      <c r="AZ108" s="14"/>
      <c r="BA108" s="14"/>
      <c r="BB108" s="14"/>
      <c r="BC108" s="14"/>
      <c r="BD108" s="14"/>
      <c r="BE108" s="14"/>
      <c r="BF108" s="14"/>
      <c r="BG108" s="18"/>
      <c r="BI108" s="17"/>
      <c r="BJ108" s="1"/>
      <c r="BN108" s="12"/>
      <c r="BO108" s="8"/>
      <c r="BP108" s="12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</row>
    <row r="109" spans="1:110">
      <c r="A109" s="10" t="s">
        <v>326</v>
      </c>
      <c r="B109" s="8" t="s">
        <v>66</v>
      </c>
      <c r="C109" s="8" t="s">
        <v>356</v>
      </c>
      <c r="D109" s="8" t="s">
        <v>377</v>
      </c>
      <c r="F109" s="10" t="s">
        <v>313</v>
      </c>
      <c r="G109" s="8" t="s">
        <v>37</v>
      </c>
      <c r="H109" s="4">
        <v>1</v>
      </c>
      <c r="I109" s="8">
        <v>53482</v>
      </c>
      <c r="J109" s="8">
        <v>4</v>
      </c>
      <c r="K109" s="8">
        <v>18793</v>
      </c>
      <c r="L109" s="12">
        <v>0.35139999999999999</v>
      </c>
      <c r="M109" s="18">
        <v>0</v>
      </c>
      <c r="N109" s="18">
        <v>0</v>
      </c>
      <c r="O109" s="18">
        <v>3</v>
      </c>
      <c r="P109" s="18">
        <v>0</v>
      </c>
      <c r="Q109" s="18">
        <v>1</v>
      </c>
      <c r="R109" s="18">
        <v>0</v>
      </c>
      <c r="S109" s="18">
        <v>0</v>
      </c>
      <c r="T109" s="18">
        <v>0</v>
      </c>
      <c r="U109" s="8">
        <v>0</v>
      </c>
      <c r="V109" s="17">
        <v>0</v>
      </c>
      <c r="W109" s="4"/>
      <c r="AA109" s="12"/>
      <c r="AB109" s="8"/>
      <c r="AC109" s="12"/>
      <c r="AD109" s="14"/>
      <c r="AE109" s="14"/>
      <c r="AF109" s="14"/>
      <c r="AG109" s="14"/>
      <c r="AH109" s="14"/>
      <c r="AI109" s="14"/>
      <c r="AJ109" s="14"/>
      <c r="AK109" s="18"/>
      <c r="AM109" s="17"/>
      <c r="AN109" s="1"/>
      <c r="AR109" s="12"/>
      <c r="AS109" s="4"/>
      <c r="AW109" s="12"/>
      <c r="AX109" s="8"/>
      <c r="AY109" s="12"/>
      <c r="AZ109" s="14"/>
      <c r="BA109" s="14"/>
      <c r="BB109" s="14"/>
      <c r="BC109" s="14"/>
      <c r="BD109" s="14"/>
      <c r="BE109" s="14"/>
      <c r="BF109" s="14"/>
      <c r="BG109" s="18"/>
      <c r="BI109" s="17"/>
      <c r="BJ109" s="1"/>
      <c r="BN109" s="12"/>
      <c r="BO109" s="8"/>
      <c r="BP109" s="12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</row>
    <row r="110" spans="1:110">
      <c r="A110" s="10" t="s">
        <v>326</v>
      </c>
      <c r="B110" s="8" t="s">
        <v>66</v>
      </c>
      <c r="C110" s="8" t="s">
        <v>356</v>
      </c>
      <c r="D110" s="8" t="s">
        <v>377</v>
      </c>
      <c r="E110" s="8">
        <v>1</v>
      </c>
      <c r="F110" s="10" t="s">
        <v>198</v>
      </c>
      <c r="G110" s="8" t="s">
        <v>38</v>
      </c>
      <c r="H110" s="4">
        <v>1</v>
      </c>
      <c r="I110" s="7">
        <v>196051</v>
      </c>
      <c r="J110" s="8">
        <v>1</v>
      </c>
      <c r="K110" s="7">
        <v>4888</v>
      </c>
      <c r="L110" s="12">
        <v>2.4899999999999999E-2</v>
      </c>
      <c r="M110" s="18">
        <v>0</v>
      </c>
      <c r="N110" s="18">
        <v>1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7">
        <v>0</v>
      </c>
      <c r="V110" s="17">
        <v>0</v>
      </c>
      <c r="W110" s="4">
        <v>1</v>
      </c>
      <c r="X110" s="7">
        <v>201154</v>
      </c>
      <c r="Y110" s="8">
        <v>1</v>
      </c>
      <c r="Z110" s="7">
        <v>3684</v>
      </c>
      <c r="AA110" s="12">
        <v>1.8314326337035305E-2</v>
      </c>
      <c r="AB110" s="7">
        <v>9058</v>
      </c>
      <c r="AC110" s="12">
        <v>4.5030175885142729E-2</v>
      </c>
      <c r="AD110" s="14">
        <v>0</v>
      </c>
      <c r="AE110" s="14">
        <v>1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8">
        <v>0</v>
      </c>
      <c r="AL110" s="7">
        <v>0</v>
      </c>
      <c r="AM110" s="17">
        <v>0</v>
      </c>
      <c r="AN110" s="4">
        <v>1</v>
      </c>
      <c r="AO110" s="7">
        <v>214883</v>
      </c>
      <c r="AP110" s="8">
        <v>0</v>
      </c>
      <c r="AQ110" s="7">
        <v>0</v>
      </c>
      <c r="AR110" s="12">
        <v>0</v>
      </c>
      <c r="AS110" s="4">
        <v>1</v>
      </c>
      <c r="AT110" s="7">
        <v>225005</v>
      </c>
      <c r="AU110" s="8">
        <v>4</v>
      </c>
      <c r="AV110" s="7">
        <v>19680</v>
      </c>
      <c r="AW110" s="12">
        <v>8.7464723006155418E-2</v>
      </c>
      <c r="AX110" s="7">
        <v>15630</v>
      </c>
      <c r="AY110" s="12">
        <v>6.9465122997266732E-2</v>
      </c>
      <c r="AZ110" s="14">
        <v>0</v>
      </c>
      <c r="BA110" s="14">
        <v>0</v>
      </c>
      <c r="BB110" s="14">
        <v>3</v>
      </c>
      <c r="BC110" s="14">
        <v>0</v>
      </c>
      <c r="BD110" s="14">
        <v>0</v>
      </c>
      <c r="BE110" s="14">
        <v>1</v>
      </c>
      <c r="BF110" s="14">
        <v>0</v>
      </c>
      <c r="BG110" s="18">
        <v>1</v>
      </c>
      <c r="BH110" s="7">
        <v>3355</v>
      </c>
      <c r="BI110" s="17">
        <v>1.4910779760449768E-2</v>
      </c>
      <c r="BJ110" s="1">
        <v>1</v>
      </c>
      <c r="BK110" s="7">
        <v>225005</v>
      </c>
      <c r="BL110" s="8">
        <v>1</v>
      </c>
      <c r="BM110" s="7">
        <v>3560</v>
      </c>
      <c r="BN110" s="12">
        <v>1.5821870625097219E-2</v>
      </c>
      <c r="BO110" s="7">
        <v>9490</v>
      </c>
      <c r="BP110" s="12">
        <v>4.2200000000000001E-2</v>
      </c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</row>
    <row r="111" spans="1:110">
      <c r="A111" s="2" t="s">
        <v>326</v>
      </c>
      <c r="B111" s="1" t="s">
        <v>66</v>
      </c>
      <c r="C111" s="1" t="s">
        <v>356</v>
      </c>
      <c r="D111" s="8" t="s">
        <v>377</v>
      </c>
      <c r="E111" s="1"/>
      <c r="F111" s="2" t="s">
        <v>199</v>
      </c>
      <c r="G111" s="1" t="s">
        <v>40</v>
      </c>
      <c r="H111" s="4"/>
      <c r="I111" s="3"/>
      <c r="J111" s="1"/>
      <c r="K111" s="1"/>
      <c r="L111" s="13"/>
      <c r="M111" s="18"/>
      <c r="N111" s="18"/>
      <c r="O111" s="18"/>
      <c r="P111" s="18"/>
      <c r="Q111" s="18"/>
      <c r="R111" s="18"/>
      <c r="S111" s="18"/>
      <c r="T111" s="18"/>
      <c r="U111" s="1"/>
      <c r="V111" s="17"/>
      <c r="W111" s="4"/>
      <c r="X111" s="3"/>
      <c r="Y111" s="1"/>
      <c r="Z111" s="1"/>
      <c r="AA111" s="13"/>
      <c r="AB111" s="1"/>
      <c r="AC111" s="12"/>
      <c r="AD111" s="14"/>
      <c r="AE111" s="14"/>
      <c r="AF111" s="14"/>
      <c r="AG111" s="14"/>
      <c r="AH111" s="14"/>
      <c r="AI111" s="14"/>
      <c r="AJ111" s="14"/>
      <c r="AK111" s="18"/>
      <c r="AL111" s="1"/>
      <c r="AM111" s="17"/>
      <c r="AN111" s="1"/>
      <c r="AO111" s="3"/>
      <c r="AP111" s="1"/>
      <c r="AQ111" s="1"/>
      <c r="AR111" s="13"/>
      <c r="AS111" s="4">
        <v>1</v>
      </c>
      <c r="AT111" s="3">
        <v>52142</v>
      </c>
      <c r="AU111" s="1">
        <v>0</v>
      </c>
      <c r="AV111" s="1">
        <v>0</v>
      </c>
      <c r="AW111" s="13">
        <v>0</v>
      </c>
      <c r="AX111" s="1">
        <v>3915</v>
      </c>
      <c r="AY111" s="12">
        <v>7.5083426028921027E-2</v>
      </c>
      <c r="AZ111" s="14">
        <v>0</v>
      </c>
      <c r="BA111" s="14">
        <v>0</v>
      </c>
      <c r="BB111" s="14">
        <v>0</v>
      </c>
      <c r="BC111" s="14">
        <v>0</v>
      </c>
      <c r="BD111" s="14">
        <v>0</v>
      </c>
      <c r="BE111" s="14">
        <v>0</v>
      </c>
      <c r="BF111" s="14">
        <v>0</v>
      </c>
      <c r="BG111" s="18">
        <v>0</v>
      </c>
      <c r="BH111" s="1">
        <v>0</v>
      </c>
      <c r="BI111" s="17">
        <v>0</v>
      </c>
      <c r="BJ111" s="1">
        <v>1</v>
      </c>
      <c r="BK111" s="3">
        <v>52142</v>
      </c>
      <c r="BL111" s="1">
        <v>0</v>
      </c>
      <c r="BM111" s="1">
        <v>0</v>
      </c>
      <c r="BN111" s="13">
        <v>0</v>
      </c>
      <c r="BO111" s="1">
        <v>0</v>
      </c>
      <c r="BP111" s="12">
        <v>0</v>
      </c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</row>
    <row r="112" spans="1:110">
      <c r="A112" s="10" t="s">
        <v>330</v>
      </c>
      <c r="B112" s="8" t="s">
        <v>71</v>
      </c>
      <c r="C112" s="8" t="s">
        <v>357</v>
      </c>
      <c r="D112" s="8" t="s">
        <v>62</v>
      </c>
      <c r="E112" s="8">
        <v>1</v>
      </c>
      <c r="F112" s="10" t="s">
        <v>233</v>
      </c>
      <c r="G112" s="8" t="s">
        <v>62</v>
      </c>
      <c r="H112" s="4">
        <v>1</v>
      </c>
      <c r="I112" s="7">
        <v>77863</v>
      </c>
      <c r="J112" s="8">
        <v>1</v>
      </c>
      <c r="K112" s="8">
        <v>3081</v>
      </c>
      <c r="L112" s="12">
        <v>3.9600000000000003E-2</v>
      </c>
      <c r="M112" s="18">
        <v>0</v>
      </c>
      <c r="N112" s="18">
        <v>0</v>
      </c>
      <c r="O112" s="18">
        <v>1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8">
        <v>0</v>
      </c>
      <c r="V112" s="17">
        <v>0</v>
      </c>
      <c r="W112" s="4">
        <v>1</v>
      </c>
      <c r="X112" s="7">
        <v>79797</v>
      </c>
      <c r="Y112" s="8">
        <v>0</v>
      </c>
      <c r="Z112" s="8">
        <v>0</v>
      </c>
      <c r="AA112" s="12">
        <v>0</v>
      </c>
      <c r="AB112" s="8">
        <v>11079</v>
      </c>
      <c r="AC112" s="12">
        <v>0.13883980600774465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18">
        <v>0</v>
      </c>
      <c r="AL112" s="8">
        <v>0</v>
      </c>
      <c r="AM112" s="17">
        <v>0</v>
      </c>
      <c r="AN112" s="4">
        <v>1</v>
      </c>
      <c r="AO112" s="7">
        <v>82263</v>
      </c>
      <c r="AP112" s="8">
        <v>0</v>
      </c>
      <c r="AQ112" s="8">
        <v>0</v>
      </c>
      <c r="AR112" s="12">
        <v>0</v>
      </c>
      <c r="AS112" s="4">
        <v>1</v>
      </c>
      <c r="AT112" s="7">
        <v>81089</v>
      </c>
      <c r="AU112" s="8">
        <v>0</v>
      </c>
      <c r="AV112" s="8">
        <v>0</v>
      </c>
      <c r="AW112" s="12">
        <v>0</v>
      </c>
      <c r="AX112" s="8">
        <v>11150</v>
      </c>
      <c r="AY112" s="12">
        <v>0.13750323718383506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18">
        <v>0</v>
      </c>
      <c r="BH112" s="8">
        <v>0</v>
      </c>
      <c r="BI112" s="17">
        <v>0</v>
      </c>
      <c r="BJ112" s="1">
        <v>1</v>
      </c>
      <c r="BK112" s="7">
        <v>81089</v>
      </c>
      <c r="BL112" s="8">
        <v>0</v>
      </c>
      <c r="BM112" s="8">
        <v>0</v>
      </c>
      <c r="BN112" s="12">
        <v>0</v>
      </c>
      <c r="BO112" s="8">
        <v>860</v>
      </c>
      <c r="BP112" s="12">
        <v>1.06E-2</v>
      </c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</row>
    <row r="113" spans="1:110">
      <c r="A113" t="s">
        <v>328</v>
      </c>
      <c r="B113" s="1" t="s">
        <v>68</v>
      </c>
      <c r="C113" s="1" t="s">
        <v>358</v>
      </c>
      <c r="D113" t="s">
        <v>378</v>
      </c>
      <c r="E113" s="1"/>
      <c r="F113" s="2" t="s">
        <v>202</v>
      </c>
      <c r="G113" s="1" t="s">
        <v>41</v>
      </c>
      <c r="H113" s="4"/>
      <c r="I113" s="3"/>
      <c r="J113" s="1"/>
      <c r="K113" s="3"/>
      <c r="L113" s="13"/>
      <c r="M113" s="18"/>
      <c r="N113" s="18"/>
      <c r="O113" s="18"/>
      <c r="P113" s="18"/>
      <c r="Q113" s="18"/>
      <c r="R113" s="18"/>
      <c r="S113" s="18"/>
      <c r="T113" s="18"/>
      <c r="U113" s="3"/>
      <c r="V113" s="17"/>
      <c r="W113" s="4">
        <v>1</v>
      </c>
      <c r="X113" s="3">
        <v>44980</v>
      </c>
      <c r="Y113" s="1">
        <v>0</v>
      </c>
      <c r="Z113" s="3">
        <v>0</v>
      </c>
      <c r="AA113" s="13">
        <v>0</v>
      </c>
      <c r="AB113" s="3">
        <v>4243</v>
      </c>
      <c r="AC113" s="12">
        <v>9.4330813694975549E-2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18">
        <v>0</v>
      </c>
      <c r="AL113" s="3">
        <v>0</v>
      </c>
      <c r="AM113" s="17">
        <v>0</v>
      </c>
      <c r="AN113" s="4">
        <v>1</v>
      </c>
      <c r="AO113" s="3">
        <v>55203</v>
      </c>
      <c r="AP113" s="1">
        <v>3</v>
      </c>
      <c r="AQ113" s="3">
        <v>26873</v>
      </c>
      <c r="AR113" s="13">
        <v>0.48680000000000001</v>
      </c>
      <c r="AS113" s="4">
        <v>1</v>
      </c>
      <c r="AT113" s="3">
        <v>55381</v>
      </c>
      <c r="AU113" s="1">
        <v>4</v>
      </c>
      <c r="AV113" s="3">
        <v>36490</v>
      </c>
      <c r="AW113" s="13">
        <v>0.65889023311243933</v>
      </c>
      <c r="AX113" s="3">
        <v>1650</v>
      </c>
      <c r="AY113" s="12">
        <v>2.9793611527419151E-2</v>
      </c>
      <c r="AZ113" s="8">
        <v>0</v>
      </c>
      <c r="BA113" s="8">
        <v>1</v>
      </c>
      <c r="BB113" s="8">
        <v>2</v>
      </c>
      <c r="BC113" s="8">
        <v>0</v>
      </c>
      <c r="BD113" s="8">
        <v>0</v>
      </c>
      <c r="BE113" s="8">
        <v>1</v>
      </c>
      <c r="BF113" s="8">
        <v>0</v>
      </c>
      <c r="BG113" s="18">
        <v>0</v>
      </c>
      <c r="BH113" s="3">
        <v>0</v>
      </c>
      <c r="BI113" s="17">
        <v>0</v>
      </c>
      <c r="BJ113" s="1">
        <v>1</v>
      </c>
      <c r="BK113" s="3">
        <v>55381</v>
      </c>
      <c r="BL113" s="1">
        <v>5</v>
      </c>
      <c r="BM113" s="3">
        <v>43675</v>
      </c>
      <c r="BN113" s="13">
        <v>0.78862786876365543</v>
      </c>
      <c r="BO113" s="3">
        <v>1690</v>
      </c>
      <c r="BP113" s="12">
        <v>3.0499999999999999E-2</v>
      </c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</row>
    <row r="114" spans="1:110">
      <c r="A114" t="s">
        <v>328</v>
      </c>
      <c r="B114" s="8" t="s">
        <v>68</v>
      </c>
      <c r="C114" s="8" t="s">
        <v>358</v>
      </c>
      <c r="D114" t="s">
        <v>378</v>
      </c>
      <c r="E114" s="8">
        <v>1</v>
      </c>
      <c r="F114" s="10" t="s">
        <v>203</v>
      </c>
      <c r="G114" s="8" t="s">
        <v>42</v>
      </c>
      <c r="H114" s="4">
        <v>1</v>
      </c>
      <c r="I114" s="7">
        <v>354877</v>
      </c>
      <c r="J114" s="8">
        <v>25</v>
      </c>
      <c r="K114" s="7">
        <v>209896</v>
      </c>
      <c r="L114" s="12">
        <v>0.59150000000000003</v>
      </c>
      <c r="M114" s="18">
        <v>0</v>
      </c>
      <c r="N114" s="18">
        <v>18</v>
      </c>
      <c r="O114" s="18">
        <v>0</v>
      </c>
      <c r="P114" s="18">
        <v>2</v>
      </c>
      <c r="Q114" s="18">
        <v>4</v>
      </c>
      <c r="R114" s="18">
        <v>0</v>
      </c>
      <c r="S114" s="18">
        <v>1</v>
      </c>
      <c r="T114" s="18">
        <v>1</v>
      </c>
      <c r="U114" s="7">
        <v>8568</v>
      </c>
      <c r="V114" s="17">
        <v>2.4143576506789676E-2</v>
      </c>
      <c r="W114" s="4">
        <v>1</v>
      </c>
      <c r="X114" s="7">
        <v>354863</v>
      </c>
      <c r="Y114" s="8">
        <v>19</v>
      </c>
      <c r="Z114" s="7">
        <v>134543</v>
      </c>
      <c r="AA114" s="12">
        <v>0.37914068246055521</v>
      </c>
      <c r="AB114" s="7">
        <v>58641</v>
      </c>
      <c r="AC114" s="12">
        <v>0.16524968790772776</v>
      </c>
      <c r="AD114" s="14">
        <v>0</v>
      </c>
      <c r="AE114" s="14">
        <v>9</v>
      </c>
      <c r="AF114" s="14">
        <v>1</v>
      </c>
      <c r="AG114" s="14">
        <v>2</v>
      </c>
      <c r="AH114" s="14">
        <v>5</v>
      </c>
      <c r="AI114" s="14">
        <v>0</v>
      </c>
      <c r="AJ114" s="14">
        <v>2</v>
      </c>
      <c r="AK114" s="18">
        <v>2</v>
      </c>
      <c r="AL114" s="7">
        <v>16388</v>
      </c>
      <c r="AM114" s="17">
        <v>4.618120232315006E-2</v>
      </c>
      <c r="AN114" s="4">
        <v>1</v>
      </c>
      <c r="AO114" s="7">
        <v>377056</v>
      </c>
      <c r="AP114" s="8">
        <v>1</v>
      </c>
      <c r="AQ114" s="7">
        <v>10115</v>
      </c>
      <c r="AR114" s="12">
        <v>2.6800000000000001E-2</v>
      </c>
      <c r="AS114" s="4">
        <v>1</v>
      </c>
      <c r="AT114" s="7">
        <v>381271</v>
      </c>
      <c r="AU114" s="8">
        <v>30</v>
      </c>
      <c r="AV114" s="7">
        <v>209380</v>
      </c>
      <c r="AW114" s="12">
        <v>0.54916319363392441</v>
      </c>
      <c r="AX114" s="7">
        <v>40375</v>
      </c>
      <c r="AY114" s="12">
        <v>0.10589580639492645</v>
      </c>
      <c r="AZ114" s="14">
        <v>1</v>
      </c>
      <c r="BA114" s="14">
        <v>10</v>
      </c>
      <c r="BB114" s="14">
        <v>13</v>
      </c>
      <c r="BC114" s="14">
        <v>0</v>
      </c>
      <c r="BD114" s="14">
        <v>4</v>
      </c>
      <c r="BE114" s="14">
        <v>0</v>
      </c>
      <c r="BF114" s="14">
        <v>2</v>
      </c>
      <c r="BG114" s="18">
        <v>3</v>
      </c>
      <c r="BH114" s="7">
        <v>17320</v>
      </c>
      <c r="BI114" s="17">
        <v>4.5427005987866899E-2</v>
      </c>
      <c r="BJ114" s="1">
        <v>1</v>
      </c>
      <c r="BK114" s="7">
        <v>381271</v>
      </c>
      <c r="BL114" s="8">
        <v>5</v>
      </c>
      <c r="BM114" s="7">
        <v>50410</v>
      </c>
      <c r="BN114" s="12">
        <v>0.13221566812057564</v>
      </c>
      <c r="BO114" s="7">
        <v>12550</v>
      </c>
      <c r="BP114" s="12">
        <v>3.2899999999999999E-2</v>
      </c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</row>
    <row r="115" spans="1:110">
      <c r="A115" t="s">
        <v>328</v>
      </c>
      <c r="B115" s="1" t="s">
        <v>68</v>
      </c>
      <c r="C115" s="1" t="s">
        <v>358</v>
      </c>
      <c r="D115" t="s">
        <v>378</v>
      </c>
      <c r="E115" s="1"/>
      <c r="F115" s="2" t="s">
        <v>204</v>
      </c>
      <c r="G115" s="1" t="s">
        <v>43</v>
      </c>
      <c r="H115" s="4"/>
      <c r="I115" s="3"/>
      <c r="J115" s="1"/>
      <c r="K115" s="3"/>
      <c r="L115" s="13"/>
      <c r="M115" s="18"/>
      <c r="N115" s="18"/>
      <c r="O115" s="18"/>
      <c r="P115" s="18"/>
      <c r="Q115" s="18"/>
      <c r="R115" s="18"/>
      <c r="S115" s="18"/>
      <c r="T115" s="18"/>
      <c r="U115" s="3"/>
      <c r="V115" s="17"/>
      <c r="W115" s="4"/>
      <c r="X115" s="3"/>
      <c r="Y115" s="1"/>
      <c r="Z115" s="3"/>
      <c r="AA115" s="13"/>
      <c r="AB115" s="3"/>
      <c r="AC115" s="12"/>
      <c r="AD115" s="14"/>
      <c r="AE115" s="14"/>
      <c r="AF115" s="14"/>
      <c r="AG115" s="14"/>
      <c r="AH115" s="14"/>
      <c r="AI115" s="14"/>
      <c r="AJ115" s="14"/>
      <c r="AK115" s="18"/>
      <c r="AL115" s="3"/>
      <c r="AM115" s="17"/>
      <c r="AN115" s="1"/>
      <c r="AO115" s="3"/>
      <c r="AP115" s="1"/>
      <c r="AQ115" s="3"/>
      <c r="AR115" s="13"/>
      <c r="AS115" s="4">
        <v>1</v>
      </c>
      <c r="AT115" s="3">
        <v>53440</v>
      </c>
      <c r="AU115" s="1">
        <v>1</v>
      </c>
      <c r="AV115" s="3">
        <v>7625</v>
      </c>
      <c r="AW115" s="13">
        <v>0.14268338323353294</v>
      </c>
      <c r="AX115" s="3">
        <v>10335</v>
      </c>
      <c r="AY115" s="12">
        <v>0.1933944610778443</v>
      </c>
      <c r="AZ115" s="14">
        <v>1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8">
        <v>0</v>
      </c>
      <c r="BH115" s="3">
        <v>0</v>
      </c>
      <c r="BI115" s="17">
        <v>0</v>
      </c>
      <c r="BJ115" s="1">
        <v>1</v>
      </c>
      <c r="BK115" s="3">
        <v>53440</v>
      </c>
      <c r="BL115" s="1">
        <v>4</v>
      </c>
      <c r="BM115" s="3">
        <v>19260</v>
      </c>
      <c r="BN115" s="13">
        <v>0.36040419161676646</v>
      </c>
      <c r="BO115" s="3">
        <v>6875</v>
      </c>
      <c r="BP115" s="12">
        <v>0.12859999999999999</v>
      </c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</row>
    <row r="116" spans="1:110">
      <c r="A116" t="s">
        <v>328</v>
      </c>
      <c r="B116" s="1" t="s">
        <v>68</v>
      </c>
      <c r="C116" s="1" t="s">
        <v>358</v>
      </c>
      <c r="D116" t="s">
        <v>378</v>
      </c>
      <c r="E116" s="1"/>
      <c r="F116" s="2" t="s">
        <v>207</v>
      </c>
      <c r="G116" s="1" t="s">
        <v>44</v>
      </c>
      <c r="H116" s="4"/>
      <c r="I116" s="3"/>
      <c r="J116" s="1"/>
      <c r="K116" s="3"/>
      <c r="L116" s="13"/>
      <c r="M116" s="18"/>
      <c r="N116" s="18"/>
      <c r="O116" s="18"/>
      <c r="P116" s="18"/>
      <c r="Q116" s="18"/>
      <c r="R116" s="18"/>
      <c r="S116" s="18"/>
      <c r="T116" s="18"/>
      <c r="U116" s="3"/>
      <c r="V116" s="17"/>
      <c r="W116" s="4">
        <v>1</v>
      </c>
      <c r="X116" s="3">
        <v>47652</v>
      </c>
      <c r="Y116" s="1">
        <v>4</v>
      </c>
      <c r="Z116" s="3">
        <v>20348</v>
      </c>
      <c r="AA116" s="13">
        <v>0.4270125073449173</v>
      </c>
      <c r="AB116" s="3">
        <v>6947</v>
      </c>
      <c r="AC116" s="12">
        <v>0.14578611600772265</v>
      </c>
      <c r="AD116" s="14">
        <v>3</v>
      </c>
      <c r="AE116" s="14">
        <v>0</v>
      </c>
      <c r="AF116" s="14">
        <v>1</v>
      </c>
      <c r="AG116" s="14">
        <v>0</v>
      </c>
      <c r="AH116" s="14">
        <v>0</v>
      </c>
      <c r="AI116" s="14">
        <v>0</v>
      </c>
      <c r="AJ116" s="14">
        <v>0</v>
      </c>
      <c r="AK116" s="18">
        <v>0</v>
      </c>
      <c r="AL116" s="3">
        <v>0</v>
      </c>
      <c r="AM116" s="17">
        <v>0</v>
      </c>
      <c r="AN116" s="4">
        <v>1</v>
      </c>
      <c r="AO116" s="3">
        <v>57211</v>
      </c>
      <c r="AP116" s="1">
        <v>0</v>
      </c>
      <c r="AQ116" s="3">
        <v>0</v>
      </c>
      <c r="AR116" s="13">
        <v>0</v>
      </c>
      <c r="AS116" s="4">
        <v>1</v>
      </c>
      <c r="AT116" s="3">
        <v>66725</v>
      </c>
      <c r="AU116" s="1">
        <v>5</v>
      </c>
      <c r="AV116" s="3">
        <v>33150</v>
      </c>
      <c r="AW116" s="13">
        <v>0.49681528662420382</v>
      </c>
      <c r="AX116" s="3">
        <v>10680</v>
      </c>
      <c r="AY116" s="12">
        <v>0.16005994754589734</v>
      </c>
      <c r="AZ116" s="14">
        <v>4</v>
      </c>
      <c r="BA116" s="14">
        <v>1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8">
        <v>0</v>
      </c>
      <c r="BH116" s="3">
        <v>0</v>
      </c>
      <c r="BI116" s="17">
        <v>0</v>
      </c>
      <c r="BJ116" s="1">
        <v>1</v>
      </c>
      <c r="BK116" s="3">
        <v>66725</v>
      </c>
      <c r="BL116" s="1">
        <v>3</v>
      </c>
      <c r="BM116" s="3">
        <v>22750</v>
      </c>
      <c r="BN116" s="13">
        <v>0.34095166729112025</v>
      </c>
      <c r="BO116" s="3">
        <v>5605</v>
      </c>
      <c r="BP116" s="12">
        <v>8.4000000000000005E-2</v>
      </c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</row>
    <row r="117" spans="1:110">
      <c r="A117" t="s">
        <v>328</v>
      </c>
      <c r="B117" s="8" t="s">
        <v>68</v>
      </c>
      <c r="C117" s="8" t="s">
        <v>358</v>
      </c>
      <c r="D117" t="s">
        <v>378</v>
      </c>
      <c r="F117" s="10" t="s">
        <v>208</v>
      </c>
      <c r="G117" s="8" t="s">
        <v>45</v>
      </c>
      <c r="H117" s="4">
        <v>1</v>
      </c>
      <c r="I117" s="7">
        <v>77356</v>
      </c>
      <c r="J117" s="8">
        <v>0</v>
      </c>
      <c r="K117" s="7">
        <v>0</v>
      </c>
      <c r="L117" s="12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18">
        <f>SUM(Tabla2[[#This Row],[EST_BBVV91]:[ESTyPARyVIV_BBVV91]])</f>
        <v>0</v>
      </c>
      <c r="U117" s="7">
        <v>0</v>
      </c>
      <c r="V117" s="17">
        <v>0</v>
      </c>
      <c r="W117" s="4">
        <v>1</v>
      </c>
      <c r="X117" s="7">
        <v>87949</v>
      </c>
      <c r="Y117" s="8">
        <v>3</v>
      </c>
      <c r="Z117" s="7">
        <v>23651</v>
      </c>
      <c r="AA117" s="12">
        <v>0.26891721338502994</v>
      </c>
      <c r="AB117" s="7">
        <v>35107</v>
      </c>
      <c r="AC117" s="12">
        <v>0.39917452159774414</v>
      </c>
      <c r="AD117" s="14">
        <v>0</v>
      </c>
      <c r="AE117" s="14">
        <v>1</v>
      </c>
      <c r="AF117" s="14">
        <v>1</v>
      </c>
      <c r="AG117" s="14">
        <v>1</v>
      </c>
      <c r="AH117" s="14">
        <v>0</v>
      </c>
      <c r="AI117" s="14">
        <v>0</v>
      </c>
      <c r="AJ117" s="14">
        <v>0</v>
      </c>
      <c r="AK117" s="18">
        <v>0</v>
      </c>
      <c r="AL117" s="7">
        <v>0</v>
      </c>
      <c r="AM117" s="17">
        <v>0</v>
      </c>
      <c r="AN117" s="4">
        <v>1</v>
      </c>
      <c r="AO117" s="7">
        <v>97525</v>
      </c>
      <c r="AP117" s="8">
        <v>0</v>
      </c>
      <c r="AQ117" s="7">
        <v>0</v>
      </c>
      <c r="AR117" s="12">
        <v>0</v>
      </c>
      <c r="AS117" s="4">
        <v>1</v>
      </c>
      <c r="AT117" s="7">
        <v>101080</v>
      </c>
      <c r="AU117" s="8">
        <v>6</v>
      </c>
      <c r="AV117" s="7">
        <v>36985</v>
      </c>
      <c r="AW117" s="12">
        <v>0.36589829837752275</v>
      </c>
      <c r="AX117" s="7">
        <v>20395</v>
      </c>
      <c r="AY117" s="12">
        <v>0.20177087455480808</v>
      </c>
      <c r="AZ117" s="14">
        <v>0</v>
      </c>
      <c r="BA117" s="14">
        <v>1</v>
      </c>
      <c r="BB117" s="14">
        <v>4</v>
      </c>
      <c r="BC117" s="14">
        <v>1</v>
      </c>
      <c r="BD117" s="14">
        <v>0</v>
      </c>
      <c r="BE117" s="14">
        <v>0</v>
      </c>
      <c r="BF117" s="14">
        <v>0</v>
      </c>
      <c r="BG117" s="18">
        <v>0</v>
      </c>
      <c r="BH117" s="7">
        <v>0</v>
      </c>
      <c r="BI117" s="17">
        <v>0</v>
      </c>
      <c r="BJ117" s="1">
        <v>1</v>
      </c>
      <c r="BK117" s="7">
        <v>101080</v>
      </c>
      <c r="BL117" s="8">
        <v>0</v>
      </c>
      <c r="BM117" s="7">
        <v>0</v>
      </c>
      <c r="BN117" s="12">
        <v>0</v>
      </c>
      <c r="BO117" s="7">
        <v>0</v>
      </c>
      <c r="BP117" s="12">
        <v>0</v>
      </c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</row>
    <row r="118" spans="1:110">
      <c r="A118" s="10" t="s">
        <v>335</v>
      </c>
      <c r="B118" s="8" t="s">
        <v>137</v>
      </c>
      <c r="C118" s="8" t="s">
        <v>359</v>
      </c>
      <c r="D118" s="8" t="s">
        <v>120</v>
      </c>
      <c r="E118" s="8">
        <v>1</v>
      </c>
      <c r="F118" s="10" t="s">
        <v>268</v>
      </c>
      <c r="G118" s="8" t="s">
        <v>120</v>
      </c>
      <c r="H118" s="4">
        <v>1</v>
      </c>
      <c r="I118" s="7">
        <v>71491</v>
      </c>
      <c r="J118" s="8">
        <v>0</v>
      </c>
      <c r="K118" s="7">
        <v>0</v>
      </c>
      <c r="L118" s="12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18">
        <f>SUM(Tabla2[[#This Row],[EST_BBVV91]:[ESTyPARyVIV_BBVV91]])</f>
        <v>0</v>
      </c>
      <c r="U118" s="7">
        <v>0</v>
      </c>
      <c r="V118" s="17">
        <v>0</v>
      </c>
      <c r="W118" s="4">
        <v>1</v>
      </c>
      <c r="X118" s="7">
        <v>74942</v>
      </c>
      <c r="Y118" s="8">
        <v>0</v>
      </c>
      <c r="Z118" s="7">
        <v>0</v>
      </c>
      <c r="AA118" s="12">
        <v>0</v>
      </c>
      <c r="AB118" s="7">
        <v>8869</v>
      </c>
      <c r="AC118" s="12">
        <v>0.11834485335325985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18">
        <v>0</v>
      </c>
      <c r="AL118" s="7">
        <v>0</v>
      </c>
      <c r="AM118" s="17">
        <v>0</v>
      </c>
      <c r="AN118" s="4">
        <v>1</v>
      </c>
      <c r="AO118" s="7">
        <v>80096</v>
      </c>
      <c r="AP118" s="8">
        <v>0</v>
      </c>
      <c r="AQ118" s="7">
        <v>0</v>
      </c>
      <c r="AR118" s="12">
        <v>0</v>
      </c>
      <c r="AS118" s="4">
        <v>1</v>
      </c>
      <c r="AT118" s="7">
        <v>82346</v>
      </c>
      <c r="AU118" s="8">
        <v>1</v>
      </c>
      <c r="AV118" s="7">
        <v>5765</v>
      </c>
      <c r="AW118" s="12">
        <v>7.0009472226944841E-2</v>
      </c>
      <c r="AX118" s="7">
        <v>17475</v>
      </c>
      <c r="AY118" s="12">
        <v>0.21221431520656742</v>
      </c>
      <c r="AZ118" s="8">
        <v>0</v>
      </c>
      <c r="BA118" s="8">
        <v>0</v>
      </c>
      <c r="BB118" s="8">
        <v>1</v>
      </c>
      <c r="BC118" s="8">
        <v>0</v>
      </c>
      <c r="BD118" s="8">
        <v>0</v>
      </c>
      <c r="BE118" s="8">
        <v>0</v>
      </c>
      <c r="BF118" s="8">
        <v>0</v>
      </c>
      <c r="BG118" s="18">
        <v>0</v>
      </c>
      <c r="BH118" s="7">
        <v>0</v>
      </c>
      <c r="BI118" s="17">
        <v>0</v>
      </c>
      <c r="BJ118" s="1">
        <v>1</v>
      </c>
      <c r="BK118" s="7">
        <v>82346</v>
      </c>
      <c r="BL118" s="8">
        <v>0</v>
      </c>
      <c r="BM118" s="7">
        <v>0</v>
      </c>
      <c r="BN118" s="12">
        <v>0</v>
      </c>
      <c r="BO118" s="7">
        <v>1655</v>
      </c>
      <c r="BP118" s="12">
        <v>2.01E-2</v>
      </c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</row>
    <row r="119" spans="1:110">
      <c r="A119" s="10" t="s">
        <v>335</v>
      </c>
      <c r="B119" s="8" t="s">
        <v>137</v>
      </c>
      <c r="C119" s="8" t="s">
        <v>359</v>
      </c>
      <c r="D119" s="8" t="s">
        <v>120</v>
      </c>
      <c r="F119" s="10" t="s">
        <v>275</v>
      </c>
      <c r="G119" s="8" t="s">
        <v>121</v>
      </c>
      <c r="H119" s="4">
        <v>1</v>
      </c>
      <c r="I119" s="7">
        <v>276109</v>
      </c>
      <c r="J119" s="8">
        <v>5</v>
      </c>
      <c r="K119" s="7">
        <v>36084</v>
      </c>
      <c r="L119" s="12">
        <v>0.13070000000000001</v>
      </c>
      <c r="M119" s="18">
        <v>0</v>
      </c>
      <c r="N119" s="18">
        <v>2</v>
      </c>
      <c r="O119" s="18">
        <v>3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7">
        <v>0</v>
      </c>
      <c r="V119" s="17">
        <v>0</v>
      </c>
      <c r="W119" s="4">
        <v>1</v>
      </c>
      <c r="X119" s="7">
        <v>280186</v>
      </c>
      <c r="Y119" s="8">
        <v>1</v>
      </c>
      <c r="Z119" s="7">
        <v>4463</v>
      </c>
      <c r="AA119" s="12">
        <v>1.5928704503437002E-2</v>
      </c>
      <c r="AB119" s="7">
        <v>38921</v>
      </c>
      <c r="AC119" s="12">
        <v>0.13891129463998916</v>
      </c>
      <c r="AD119" s="14">
        <v>0</v>
      </c>
      <c r="AE119" s="14">
        <v>0</v>
      </c>
      <c r="AF119" s="14">
        <v>1</v>
      </c>
      <c r="AG119" s="14">
        <v>0</v>
      </c>
      <c r="AH119" s="14">
        <v>0</v>
      </c>
      <c r="AI119" s="14">
        <v>0</v>
      </c>
      <c r="AJ119" s="14">
        <v>0</v>
      </c>
      <c r="AK119" s="18">
        <v>0</v>
      </c>
      <c r="AL119" s="7">
        <v>0</v>
      </c>
      <c r="AM119" s="17">
        <v>0</v>
      </c>
      <c r="AN119" s="4">
        <v>1</v>
      </c>
      <c r="AO119" s="7">
        <v>293255</v>
      </c>
      <c r="AP119" s="8">
        <v>0</v>
      </c>
      <c r="AQ119" s="7">
        <v>0</v>
      </c>
      <c r="AR119" s="12">
        <v>0</v>
      </c>
      <c r="AS119" s="4">
        <v>1</v>
      </c>
      <c r="AT119" s="7">
        <v>295623</v>
      </c>
      <c r="AU119" s="8">
        <v>8</v>
      </c>
      <c r="AV119" s="7">
        <v>56630</v>
      </c>
      <c r="AW119" s="12">
        <v>0.19156154967644601</v>
      </c>
      <c r="AX119" s="7">
        <v>27850</v>
      </c>
      <c r="AY119" s="12">
        <v>9.4207825507487575E-2</v>
      </c>
      <c r="AZ119" s="14">
        <v>0</v>
      </c>
      <c r="BA119" s="14">
        <v>2</v>
      </c>
      <c r="BB119" s="14">
        <v>6</v>
      </c>
      <c r="BC119" s="14">
        <v>0</v>
      </c>
      <c r="BD119" s="14">
        <v>0</v>
      </c>
      <c r="BE119" s="14">
        <v>0</v>
      </c>
      <c r="BF119" s="14">
        <v>0</v>
      </c>
      <c r="BG119" s="18">
        <v>0</v>
      </c>
      <c r="BH119" s="7">
        <v>0</v>
      </c>
      <c r="BI119" s="17">
        <v>0</v>
      </c>
      <c r="BJ119" s="1">
        <v>1</v>
      </c>
      <c r="BK119" s="7">
        <v>295623</v>
      </c>
      <c r="BL119" s="8">
        <v>1</v>
      </c>
      <c r="BM119" s="7">
        <v>3850</v>
      </c>
      <c r="BN119" s="12">
        <v>1.3023343921142808E-2</v>
      </c>
      <c r="BO119" s="7">
        <v>3835</v>
      </c>
      <c r="BP119" s="12">
        <v>1.2999999999999999E-2</v>
      </c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</row>
    <row r="120" spans="1:110">
      <c r="A120" s="10" t="s">
        <v>330</v>
      </c>
      <c r="B120" s="8" t="s">
        <v>71</v>
      </c>
      <c r="C120" s="8" t="s">
        <v>360</v>
      </c>
      <c r="D120" s="8" t="s">
        <v>63</v>
      </c>
      <c r="E120" s="8">
        <v>1</v>
      </c>
      <c r="F120" s="10" t="s">
        <v>239</v>
      </c>
      <c r="G120" s="8" t="s">
        <v>63</v>
      </c>
      <c r="H120" s="4">
        <v>1</v>
      </c>
      <c r="I120" s="7">
        <v>162888</v>
      </c>
      <c r="J120" s="8">
        <v>2</v>
      </c>
      <c r="K120" s="7">
        <v>20452</v>
      </c>
      <c r="L120" s="12">
        <v>0.12559999999999999</v>
      </c>
      <c r="M120" s="18">
        <v>0</v>
      </c>
      <c r="N120" s="18">
        <v>0</v>
      </c>
      <c r="O120" s="18">
        <v>2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7">
        <v>0</v>
      </c>
      <c r="V120" s="17">
        <v>0</v>
      </c>
      <c r="W120" s="4">
        <v>1</v>
      </c>
      <c r="X120" s="7">
        <v>156368</v>
      </c>
      <c r="Y120" s="8">
        <v>1</v>
      </c>
      <c r="Z120" s="7">
        <v>4860</v>
      </c>
      <c r="AA120" s="12">
        <v>3.1080527985265529E-2</v>
      </c>
      <c r="AB120" s="7">
        <v>12617</v>
      </c>
      <c r="AC120" s="12">
        <v>8.0687864524710939E-2</v>
      </c>
      <c r="AD120" s="14">
        <v>1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8">
        <v>0</v>
      </c>
      <c r="AL120" s="7">
        <v>0</v>
      </c>
      <c r="AM120" s="17">
        <v>0</v>
      </c>
      <c r="AN120" s="4">
        <v>1</v>
      </c>
      <c r="AO120" s="7">
        <v>159754</v>
      </c>
      <c r="AP120" s="8">
        <v>0</v>
      </c>
      <c r="AQ120" s="7">
        <v>0</v>
      </c>
      <c r="AR120" s="12">
        <v>0</v>
      </c>
      <c r="AS120" s="4">
        <v>1</v>
      </c>
      <c r="AT120" s="7">
        <v>151658</v>
      </c>
      <c r="AU120" s="8">
        <v>4</v>
      </c>
      <c r="AV120" s="7">
        <v>19375</v>
      </c>
      <c r="AW120" s="12">
        <v>0.12775455300742461</v>
      </c>
      <c r="AX120" s="7">
        <v>9455</v>
      </c>
      <c r="AY120" s="12">
        <v>6.2344221867623208E-2</v>
      </c>
      <c r="AZ120" s="14">
        <v>0</v>
      </c>
      <c r="BA120" s="14">
        <v>1</v>
      </c>
      <c r="BB120" s="14">
        <v>3</v>
      </c>
      <c r="BC120" s="14">
        <v>0</v>
      </c>
      <c r="BD120" s="14">
        <v>0</v>
      </c>
      <c r="BE120" s="14">
        <v>0</v>
      </c>
      <c r="BF120" s="14">
        <v>0</v>
      </c>
      <c r="BG120" s="18">
        <v>0</v>
      </c>
      <c r="BH120" s="7">
        <v>0</v>
      </c>
      <c r="BI120" s="17">
        <v>0</v>
      </c>
      <c r="BJ120" s="1">
        <v>1</v>
      </c>
      <c r="BK120" s="7">
        <v>151658</v>
      </c>
      <c r="BL120" s="8">
        <v>0</v>
      </c>
      <c r="BM120" s="7">
        <v>0</v>
      </c>
      <c r="BN120" s="12">
        <v>0</v>
      </c>
      <c r="BO120" s="7">
        <v>9015</v>
      </c>
      <c r="BP120" s="12">
        <v>5.9400000000000001E-2</v>
      </c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</row>
    <row r="121" spans="1:110">
      <c r="A121" t="s">
        <v>328</v>
      </c>
      <c r="B121" s="1" t="s">
        <v>68</v>
      </c>
      <c r="C121" s="1" t="s">
        <v>361</v>
      </c>
      <c r="D121" t="s">
        <v>48</v>
      </c>
      <c r="E121" s="1"/>
      <c r="F121" s="2" t="s">
        <v>201</v>
      </c>
      <c r="G121" s="1" t="s">
        <v>46</v>
      </c>
      <c r="H121" s="4"/>
      <c r="I121" s="3"/>
      <c r="J121" s="1"/>
      <c r="K121" s="3"/>
      <c r="L121" s="13"/>
      <c r="M121" s="18"/>
      <c r="N121" s="18"/>
      <c r="O121" s="18"/>
      <c r="P121" s="18"/>
      <c r="Q121" s="18"/>
      <c r="R121" s="18"/>
      <c r="S121" s="18"/>
      <c r="T121" s="18"/>
      <c r="U121" s="3"/>
      <c r="V121" s="17"/>
      <c r="W121" s="4">
        <v>1</v>
      </c>
      <c r="X121" s="3">
        <v>40826</v>
      </c>
      <c r="Y121" s="1">
        <v>0</v>
      </c>
      <c r="Z121" s="3">
        <v>0</v>
      </c>
      <c r="AA121" s="13">
        <v>0</v>
      </c>
      <c r="AB121" s="3">
        <v>1670</v>
      </c>
      <c r="AC121" s="12">
        <v>4.0905305442610104E-2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18">
        <v>0</v>
      </c>
      <c r="AL121" s="3">
        <v>0</v>
      </c>
      <c r="AM121" s="17">
        <v>0</v>
      </c>
      <c r="AN121" s="4">
        <v>1</v>
      </c>
      <c r="AO121" s="3">
        <v>69100</v>
      </c>
      <c r="AP121" s="1">
        <v>1</v>
      </c>
      <c r="AQ121" s="3">
        <v>7821</v>
      </c>
      <c r="AR121" s="13">
        <v>0.1132</v>
      </c>
      <c r="AS121" s="4">
        <v>1</v>
      </c>
      <c r="AT121" s="3">
        <v>75484</v>
      </c>
      <c r="AU121" s="1">
        <v>2</v>
      </c>
      <c r="AV121" s="3">
        <v>19975</v>
      </c>
      <c r="AW121" s="13">
        <v>0.26462561602458801</v>
      </c>
      <c r="AX121" s="3">
        <v>2140</v>
      </c>
      <c r="AY121" s="12">
        <v>2.8350378888241216E-2</v>
      </c>
      <c r="AZ121" s="8">
        <v>0</v>
      </c>
      <c r="BA121" s="8">
        <v>2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18">
        <v>0</v>
      </c>
      <c r="BH121" s="3">
        <v>0</v>
      </c>
      <c r="BI121" s="17">
        <v>0</v>
      </c>
      <c r="BJ121" s="1">
        <v>1</v>
      </c>
      <c r="BK121" s="3">
        <v>75484</v>
      </c>
      <c r="BL121" s="1">
        <v>4</v>
      </c>
      <c r="BM121" s="3">
        <v>35675</v>
      </c>
      <c r="BN121" s="13">
        <v>0.47261671347570344</v>
      </c>
      <c r="BO121" s="3">
        <v>14925</v>
      </c>
      <c r="BP121" s="12">
        <v>0.19769999999999999</v>
      </c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</row>
    <row r="122" spans="1:110">
      <c r="A122" t="s">
        <v>328</v>
      </c>
      <c r="B122" s="8" t="s">
        <v>68</v>
      </c>
      <c r="C122" s="8" t="s">
        <v>361</v>
      </c>
      <c r="D122" t="s">
        <v>48</v>
      </c>
      <c r="F122" s="10" t="s">
        <v>205</v>
      </c>
      <c r="G122" s="8" t="s">
        <v>47</v>
      </c>
      <c r="H122" s="4">
        <v>1</v>
      </c>
      <c r="I122" s="7">
        <v>110895</v>
      </c>
      <c r="J122" s="8">
        <v>0</v>
      </c>
      <c r="K122" s="7">
        <v>0</v>
      </c>
      <c r="L122" s="12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18">
        <f>SUM(Tabla2[[#This Row],[EST_BBVV91]:[ESTyPARyVIV_BBVV91]])</f>
        <v>0</v>
      </c>
      <c r="U122" s="7">
        <v>0</v>
      </c>
      <c r="V122" s="17">
        <v>0</v>
      </c>
      <c r="W122" s="4">
        <v>1</v>
      </c>
      <c r="X122" s="7">
        <v>128822</v>
      </c>
      <c r="Y122" s="8">
        <v>7</v>
      </c>
      <c r="Z122" s="7">
        <v>46318</v>
      </c>
      <c r="AA122" s="12">
        <v>0.35955038735619693</v>
      </c>
      <c r="AB122" s="7">
        <v>20645</v>
      </c>
      <c r="AC122" s="12">
        <v>0.16025989349645248</v>
      </c>
      <c r="AD122" s="14">
        <v>0</v>
      </c>
      <c r="AE122" s="14">
        <v>1</v>
      </c>
      <c r="AF122" s="14">
        <v>4</v>
      </c>
      <c r="AG122" s="14">
        <v>0</v>
      </c>
      <c r="AH122" s="14">
        <v>1</v>
      </c>
      <c r="AI122" s="14">
        <v>1</v>
      </c>
      <c r="AJ122" s="14">
        <v>0</v>
      </c>
      <c r="AK122" s="18">
        <v>1</v>
      </c>
      <c r="AL122" s="7">
        <v>4131</v>
      </c>
      <c r="AM122" s="17">
        <v>3.2067503997764354E-2</v>
      </c>
      <c r="AN122" s="4">
        <v>1</v>
      </c>
      <c r="AO122" s="7">
        <v>142161</v>
      </c>
      <c r="AP122" s="8">
        <v>0</v>
      </c>
      <c r="AQ122" s="7">
        <v>0</v>
      </c>
      <c r="AR122" s="12">
        <v>0</v>
      </c>
      <c r="AS122" s="4">
        <v>1</v>
      </c>
      <c r="AT122" s="7">
        <v>152025</v>
      </c>
      <c r="AU122" s="8">
        <v>7</v>
      </c>
      <c r="AV122" s="7">
        <v>54680</v>
      </c>
      <c r="AW122" s="12">
        <v>0.35967768459135013</v>
      </c>
      <c r="AX122" s="7">
        <v>29335</v>
      </c>
      <c r="AY122" s="12">
        <v>0.19296168393356355</v>
      </c>
      <c r="AZ122" s="14">
        <v>0</v>
      </c>
      <c r="BA122" s="14">
        <v>1</v>
      </c>
      <c r="BB122" s="14">
        <v>5</v>
      </c>
      <c r="BC122" s="14">
        <v>0</v>
      </c>
      <c r="BD122" s="14">
        <v>0</v>
      </c>
      <c r="BE122" s="14">
        <v>0</v>
      </c>
      <c r="BF122" s="14">
        <v>1</v>
      </c>
      <c r="BG122" s="18">
        <v>0</v>
      </c>
      <c r="BH122" s="7">
        <v>0</v>
      </c>
      <c r="BI122" s="17">
        <v>0</v>
      </c>
      <c r="BJ122" s="1">
        <v>1</v>
      </c>
      <c r="BK122" s="7">
        <v>152025</v>
      </c>
      <c r="BL122" s="8">
        <v>2</v>
      </c>
      <c r="BM122" s="7">
        <v>11285</v>
      </c>
      <c r="BN122" s="12">
        <v>7.4231211971715172E-2</v>
      </c>
      <c r="BO122" s="7">
        <v>5135</v>
      </c>
      <c r="BP122" s="12">
        <v>3.3799999999999997E-2</v>
      </c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</row>
    <row r="123" spans="1:110">
      <c r="A123" t="s">
        <v>328</v>
      </c>
      <c r="B123" s="8" t="s">
        <v>68</v>
      </c>
      <c r="C123" s="8" t="s">
        <v>361</v>
      </c>
      <c r="D123" t="s">
        <v>48</v>
      </c>
      <c r="E123" s="8">
        <v>1</v>
      </c>
      <c r="F123" s="10" t="s">
        <v>206</v>
      </c>
      <c r="G123" s="8" t="s">
        <v>48</v>
      </c>
      <c r="H123" s="4">
        <v>1</v>
      </c>
      <c r="I123" s="7">
        <v>200172</v>
      </c>
      <c r="J123" s="8">
        <v>9</v>
      </c>
      <c r="K123" s="7">
        <v>68918</v>
      </c>
      <c r="L123" s="12">
        <v>0.34429999999999999</v>
      </c>
      <c r="M123" s="18">
        <v>0</v>
      </c>
      <c r="N123" s="18">
        <v>8</v>
      </c>
      <c r="O123" s="18">
        <v>0</v>
      </c>
      <c r="P123" s="18">
        <v>1</v>
      </c>
      <c r="Q123" s="18">
        <v>0</v>
      </c>
      <c r="R123" s="18">
        <v>0</v>
      </c>
      <c r="S123" s="18">
        <v>0</v>
      </c>
      <c r="T123" s="18">
        <v>0</v>
      </c>
      <c r="U123" s="7">
        <v>0</v>
      </c>
      <c r="V123" s="17">
        <v>0</v>
      </c>
      <c r="W123" s="4">
        <v>1</v>
      </c>
      <c r="X123" s="7">
        <v>188477</v>
      </c>
      <c r="Y123" s="8">
        <v>12</v>
      </c>
      <c r="Z123" s="7">
        <v>77843</v>
      </c>
      <c r="AA123" s="12">
        <v>0.41301060606864498</v>
      </c>
      <c r="AB123" s="7">
        <v>31679</v>
      </c>
      <c r="AC123" s="12">
        <v>0.16807886373403652</v>
      </c>
      <c r="AD123" s="14">
        <v>0</v>
      </c>
      <c r="AE123" s="14">
        <v>1</v>
      </c>
      <c r="AF123" s="14">
        <v>4</v>
      </c>
      <c r="AG123" s="14">
        <v>0</v>
      </c>
      <c r="AH123" s="14">
        <v>6</v>
      </c>
      <c r="AI123" s="14">
        <v>0</v>
      </c>
      <c r="AJ123" s="14">
        <v>1</v>
      </c>
      <c r="AK123" s="18">
        <v>2</v>
      </c>
      <c r="AL123" s="7">
        <v>16217</v>
      </c>
      <c r="AM123" s="17">
        <v>8.6042328772210935E-2</v>
      </c>
      <c r="AN123" s="4">
        <v>1</v>
      </c>
      <c r="AO123" s="7">
        <v>223148</v>
      </c>
      <c r="AP123" s="8">
        <v>0</v>
      </c>
      <c r="AQ123" s="7">
        <v>0</v>
      </c>
      <c r="AR123" s="12">
        <v>0</v>
      </c>
      <c r="AS123" s="4">
        <v>1</v>
      </c>
      <c r="AT123" s="7">
        <v>204476</v>
      </c>
      <c r="AU123" s="8">
        <v>14</v>
      </c>
      <c r="AV123" s="7">
        <v>93100</v>
      </c>
      <c r="AW123" s="12">
        <v>0.45531015864942587</v>
      </c>
      <c r="AX123" s="7">
        <v>33210</v>
      </c>
      <c r="AY123" s="12">
        <v>0.16241514896613785</v>
      </c>
      <c r="AZ123" s="14">
        <v>0</v>
      </c>
      <c r="BA123" s="14">
        <v>6</v>
      </c>
      <c r="BB123" s="14">
        <v>5</v>
      </c>
      <c r="BC123" s="14">
        <v>1</v>
      </c>
      <c r="BD123" s="14">
        <v>2</v>
      </c>
      <c r="BE123" s="14">
        <v>0</v>
      </c>
      <c r="BF123" s="14">
        <v>0</v>
      </c>
      <c r="BG123" s="18">
        <v>1</v>
      </c>
      <c r="BH123" s="7">
        <v>5060</v>
      </c>
      <c r="BI123" s="17">
        <v>2.4746180480838827E-2</v>
      </c>
      <c r="BJ123" s="1">
        <v>1</v>
      </c>
      <c r="BK123" s="7">
        <v>204476</v>
      </c>
      <c r="BL123" s="8">
        <v>3</v>
      </c>
      <c r="BM123" s="7">
        <v>14945</v>
      </c>
      <c r="BN123" s="12">
        <v>7.3089262309513098E-2</v>
      </c>
      <c r="BO123" s="7">
        <v>8985</v>
      </c>
      <c r="BP123" s="12">
        <v>4.3900000000000002E-2</v>
      </c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</row>
    <row r="124" spans="1:110">
      <c r="A124" t="s">
        <v>329</v>
      </c>
      <c r="B124" s="8" t="s">
        <v>69</v>
      </c>
      <c r="C124" s="8" t="s">
        <v>362</v>
      </c>
      <c r="D124" s="8" t="s">
        <v>69</v>
      </c>
      <c r="E124" s="8">
        <v>1</v>
      </c>
      <c r="F124" s="10" t="s">
        <v>209</v>
      </c>
      <c r="G124" s="8" t="s">
        <v>49</v>
      </c>
      <c r="H124" s="4">
        <v>1</v>
      </c>
      <c r="I124" s="7">
        <v>191079</v>
      </c>
      <c r="J124" s="8">
        <v>0</v>
      </c>
      <c r="K124" s="7">
        <v>0</v>
      </c>
      <c r="L124" s="12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18">
        <f>SUM(Tabla2[[#This Row],[EST_BBVV91]:[ESTyPARyVIV_BBVV91]])</f>
        <v>0</v>
      </c>
      <c r="U124" s="7">
        <v>0</v>
      </c>
      <c r="V124" s="17">
        <v>0</v>
      </c>
      <c r="W124" s="4">
        <v>1</v>
      </c>
      <c r="X124" s="7">
        <v>180717</v>
      </c>
      <c r="Y124" s="8">
        <v>1</v>
      </c>
      <c r="Z124" s="7">
        <v>5784</v>
      </c>
      <c r="AA124" s="12">
        <v>3.2005843390494532E-2</v>
      </c>
      <c r="AB124" s="7">
        <v>21451</v>
      </c>
      <c r="AC124" s="12">
        <v>0.11869940293386898</v>
      </c>
      <c r="AD124" s="14">
        <v>0</v>
      </c>
      <c r="AE124" s="14">
        <v>1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8">
        <v>0</v>
      </c>
      <c r="AL124" s="7">
        <v>0</v>
      </c>
      <c r="AM124" s="17">
        <v>0</v>
      </c>
      <c r="AN124" s="4">
        <v>1</v>
      </c>
      <c r="AO124" s="7">
        <v>182926</v>
      </c>
      <c r="AP124" s="8">
        <v>0</v>
      </c>
      <c r="AQ124" s="7">
        <v>0</v>
      </c>
      <c r="AR124" s="12">
        <v>0</v>
      </c>
      <c r="AS124" s="4">
        <v>1</v>
      </c>
      <c r="AT124" s="7">
        <v>178095</v>
      </c>
      <c r="AU124" s="8">
        <v>6</v>
      </c>
      <c r="AV124" s="7">
        <v>30765</v>
      </c>
      <c r="AW124" s="12">
        <v>0.17274488334877453</v>
      </c>
      <c r="AX124" s="7">
        <v>14500</v>
      </c>
      <c r="AY124" s="12">
        <v>8.1417221146017571E-2</v>
      </c>
      <c r="AZ124" s="14">
        <v>0</v>
      </c>
      <c r="BA124" s="14">
        <v>3</v>
      </c>
      <c r="BB124" s="14">
        <v>3</v>
      </c>
      <c r="BC124" s="14">
        <v>0</v>
      </c>
      <c r="BD124" s="14">
        <v>0</v>
      </c>
      <c r="BE124" s="14">
        <v>0</v>
      </c>
      <c r="BF124" s="14">
        <v>0</v>
      </c>
      <c r="BG124" s="18">
        <v>0</v>
      </c>
      <c r="BH124" s="7">
        <v>0</v>
      </c>
      <c r="BI124" s="17">
        <v>0</v>
      </c>
      <c r="BJ124" s="1">
        <v>1</v>
      </c>
      <c r="BK124" s="7">
        <v>178095</v>
      </c>
      <c r="BL124" s="8">
        <v>4</v>
      </c>
      <c r="BM124" s="7">
        <v>29875</v>
      </c>
      <c r="BN124" s="12">
        <v>0.16774755046463966</v>
      </c>
      <c r="BO124" s="7">
        <v>3720</v>
      </c>
      <c r="BP124" s="12">
        <v>2.0899999999999998E-2</v>
      </c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</row>
    <row r="125" spans="1:110">
      <c r="A125" t="s">
        <v>329</v>
      </c>
      <c r="B125" s="8" t="s">
        <v>69</v>
      </c>
      <c r="C125" s="8" t="s">
        <v>362</v>
      </c>
      <c r="D125" s="8" t="s">
        <v>69</v>
      </c>
      <c r="F125" s="10" t="s">
        <v>210</v>
      </c>
      <c r="G125" s="8" t="s">
        <v>50</v>
      </c>
      <c r="H125" s="4">
        <v>1</v>
      </c>
      <c r="I125" s="7">
        <v>60023</v>
      </c>
      <c r="J125" s="8">
        <v>0</v>
      </c>
      <c r="K125" s="7">
        <v>0</v>
      </c>
      <c r="L125" s="12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18">
        <f>SUM(Tabla2[[#This Row],[EST_BBVV91]:[ESTyPARyVIV_BBVV91]])</f>
        <v>0</v>
      </c>
      <c r="U125" s="7">
        <v>0</v>
      </c>
      <c r="V125" s="17">
        <v>0</v>
      </c>
      <c r="W125" s="4">
        <v>1</v>
      </c>
      <c r="X125" s="7">
        <v>55477</v>
      </c>
      <c r="Y125" s="8">
        <v>0</v>
      </c>
      <c r="Z125" s="7">
        <v>0</v>
      </c>
      <c r="AA125" s="12">
        <v>0</v>
      </c>
      <c r="AB125" s="7">
        <v>7852</v>
      </c>
      <c r="AC125" s="12">
        <v>0.14153613209077637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18">
        <v>0</v>
      </c>
      <c r="AL125" s="7">
        <v>0</v>
      </c>
      <c r="AM125" s="17">
        <v>0</v>
      </c>
      <c r="AN125" s="4">
        <v>1</v>
      </c>
      <c r="AO125" s="7">
        <v>56143</v>
      </c>
      <c r="AP125" s="8">
        <v>0</v>
      </c>
      <c r="AQ125" s="7">
        <v>0</v>
      </c>
      <c r="AR125" s="12">
        <v>0</v>
      </c>
      <c r="AS125" s="4">
        <v>1</v>
      </c>
      <c r="AT125" s="7">
        <v>55125</v>
      </c>
      <c r="AU125" s="8">
        <v>2</v>
      </c>
      <c r="AV125" s="7">
        <v>8470</v>
      </c>
      <c r="AW125" s="12">
        <v>0.15365079365079365</v>
      </c>
      <c r="AX125" s="7">
        <v>6140</v>
      </c>
      <c r="AY125" s="12">
        <v>0.11138321995464853</v>
      </c>
      <c r="AZ125" s="8">
        <v>0</v>
      </c>
      <c r="BA125" s="8">
        <v>1</v>
      </c>
      <c r="BB125" s="8">
        <v>1</v>
      </c>
      <c r="BC125" s="8">
        <v>0</v>
      </c>
      <c r="BD125" s="8">
        <v>0</v>
      </c>
      <c r="BE125" s="8">
        <v>0</v>
      </c>
      <c r="BF125" s="8">
        <v>0</v>
      </c>
      <c r="BG125" s="18">
        <v>0</v>
      </c>
      <c r="BH125" s="7">
        <v>0</v>
      </c>
      <c r="BI125" s="17">
        <v>0</v>
      </c>
      <c r="BJ125" s="1">
        <v>1</v>
      </c>
      <c r="BK125" s="7">
        <v>55125</v>
      </c>
      <c r="BL125" s="8">
        <v>1</v>
      </c>
      <c r="BM125" s="7">
        <v>4275</v>
      </c>
      <c r="BN125" s="12">
        <v>7.7551020408163265E-2</v>
      </c>
      <c r="BO125" s="7">
        <v>3825</v>
      </c>
      <c r="BP125" s="12">
        <v>6.9400000000000003E-2</v>
      </c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</row>
    <row r="126" spans="1:110">
      <c r="A126" s="10" t="s">
        <v>330</v>
      </c>
      <c r="B126" s="8" t="s">
        <v>71</v>
      </c>
      <c r="C126" s="8" t="s">
        <v>363</v>
      </c>
      <c r="D126" s="8" t="s">
        <v>64</v>
      </c>
      <c r="E126" s="8">
        <v>1</v>
      </c>
      <c r="F126" s="10" t="s">
        <v>243</v>
      </c>
      <c r="G126" s="8" t="s">
        <v>64</v>
      </c>
      <c r="H126" s="4">
        <v>1</v>
      </c>
      <c r="I126" s="7">
        <v>54375</v>
      </c>
      <c r="J126" s="8">
        <v>0</v>
      </c>
      <c r="K126" s="7">
        <v>0</v>
      </c>
      <c r="L126" s="12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18">
        <f>SUM(Tabla2[[#This Row],[EST_BBVV91]:[ESTyPARyVIV_BBVV91]])</f>
        <v>0</v>
      </c>
      <c r="U126" s="7">
        <v>0</v>
      </c>
      <c r="V126" s="17">
        <v>0</v>
      </c>
      <c r="W126" s="4">
        <v>1</v>
      </c>
      <c r="X126" s="7">
        <v>54368</v>
      </c>
      <c r="Y126" s="8">
        <v>0</v>
      </c>
      <c r="Z126" s="7">
        <v>0</v>
      </c>
      <c r="AA126" s="12">
        <v>0</v>
      </c>
      <c r="AB126" s="7">
        <v>10877</v>
      </c>
      <c r="AC126" s="12">
        <v>0.20006253678634492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18">
        <v>0</v>
      </c>
      <c r="AL126" s="7">
        <v>0</v>
      </c>
      <c r="AM126" s="17">
        <v>0</v>
      </c>
      <c r="AN126" s="4">
        <v>1</v>
      </c>
      <c r="AO126" s="7">
        <v>55476</v>
      </c>
      <c r="AP126" s="8">
        <v>0</v>
      </c>
      <c r="AQ126" s="7">
        <v>0</v>
      </c>
      <c r="AR126" s="12">
        <v>0</v>
      </c>
      <c r="AS126" s="4">
        <v>1</v>
      </c>
      <c r="AT126" s="7">
        <v>54945</v>
      </c>
      <c r="AU126" s="8">
        <v>2</v>
      </c>
      <c r="AV126" s="7">
        <v>9940</v>
      </c>
      <c r="AW126" s="12">
        <v>0.18090818090818092</v>
      </c>
      <c r="AX126" s="7">
        <v>5050</v>
      </c>
      <c r="AY126" s="12">
        <v>9.1910091910091904E-2</v>
      </c>
      <c r="AZ126" s="8">
        <v>0</v>
      </c>
      <c r="BA126" s="8">
        <v>0</v>
      </c>
      <c r="BB126" s="8">
        <v>2</v>
      </c>
      <c r="BC126" s="8">
        <v>0</v>
      </c>
      <c r="BD126" s="8">
        <v>0</v>
      </c>
      <c r="BE126" s="8">
        <v>0</v>
      </c>
      <c r="BF126" s="8">
        <v>0</v>
      </c>
      <c r="BG126" s="18">
        <v>0</v>
      </c>
      <c r="BH126" s="7">
        <v>0</v>
      </c>
      <c r="BI126" s="17">
        <v>0</v>
      </c>
      <c r="BJ126" s="1">
        <v>1</v>
      </c>
      <c r="BK126" s="7">
        <v>54945</v>
      </c>
      <c r="BL126" s="8">
        <v>2</v>
      </c>
      <c r="BM126" s="7">
        <v>9755</v>
      </c>
      <c r="BN126" s="12">
        <v>0.17754117754117754</v>
      </c>
      <c r="BO126" s="7">
        <v>3220</v>
      </c>
      <c r="BP126" s="12">
        <v>5.8599999999999999E-2</v>
      </c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</row>
    <row r="127" spans="1:110">
      <c r="A127" s="10" t="s">
        <v>324</v>
      </c>
      <c r="B127" s="8" t="s">
        <v>30</v>
      </c>
      <c r="C127" s="8" t="s">
        <v>364</v>
      </c>
      <c r="D127" s="8" t="s">
        <v>28</v>
      </c>
      <c r="F127" s="10" t="s">
        <v>164</v>
      </c>
      <c r="G127" s="8" t="s">
        <v>26</v>
      </c>
      <c r="H127" s="4">
        <v>1</v>
      </c>
      <c r="I127" s="7">
        <v>52257</v>
      </c>
      <c r="J127" s="8">
        <v>4</v>
      </c>
      <c r="K127" s="7">
        <v>33745</v>
      </c>
      <c r="L127" s="12">
        <v>0.64580000000000004</v>
      </c>
      <c r="M127" s="18">
        <v>0</v>
      </c>
      <c r="N127" s="18">
        <v>1</v>
      </c>
      <c r="O127" s="18">
        <v>0</v>
      </c>
      <c r="P127" s="18">
        <v>2</v>
      </c>
      <c r="Q127" s="18">
        <v>0</v>
      </c>
      <c r="R127" s="18">
        <v>0</v>
      </c>
      <c r="S127" s="18">
        <v>1</v>
      </c>
      <c r="T127" s="18">
        <v>0</v>
      </c>
      <c r="U127" s="7">
        <v>0</v>
      </c>
      <c r="V127" s="17">
        <v>0</v>
      </c>
      <c r="W127" s="4">
        <v>1</v>
      </c>
      <c r="X127" s="7">
        <v>57426</v>
      </c>
      <c r="Y127" s="8">
        <v>6</v>
      </c>
      <c r="Z127" s="7">
        <v>39354</v>
      </c>
      <c r="AA127" s="12">
        <v>0.68529934176157137</v>
      </c>
      <c r="AB127" s="7">
        <v>11073</v>
      </c>
      <c r="AC127" s="12">
        <v>0.19282206665970117</v>
      </c>
      <c r="AD127" s="14">
        <v>0</v>
      </c>
      <c r="AE127" s="14">
        <v>2</v>
      </c>
      <c r="AF127" s="14">
        <v>1</v>
      </c>
      <c r="AG127" s="14">
        <v>2</v>
      </c>
      <c r="AH127" s="14">
        <v>1</v>
      </c>
      <c r="AI127" s="14">
        <v>0</v>
      </c>
      <c r="AJ127" s="14">
        <v>0</v>
      </c>
      <c r="AK127" s="18">
        <v>0</v>
      </c>
      <c r="AL127" s="7">
        <v>0</v>
      </c>
      <c r="AM127" s="17">
        <v>0</v>
      </c>
      <c r="AN127" s="4">
        <v>1</v>
      </c>
      <c r="AO127" s="7">
        <v>64990</v>
      </c>
      <c r="AP127" s="8">
        <v>0</v>
      </c>
      <c r="AQ127" s="7">
        <v>0</v>
      </c>
      <c r="AR127" s="12">
        <v>0</v>
      </c>
      <c r="AS127" s="4">
        <v>1</v>
      </c>
      <c r="AT127" s="7">
        <v>73317</v>
      </c>
      <c r="AU127" s="8">
        <v>4</v>
      </c>
      <c r="AV127" s="7">
        <v>32060</v>
      </c>
      <c r="AW127" s="12">
        <v>0.43727921218816918</v>
      </c>
      <c r="AX127" s="7">
        <v>13935</v>
      </c>
      <c r="AY127" s="12">
        <v>0.19006505994516962</v>
      </c>
      <c r="AZ127" s="14">
        <v>2</v>
      </c>
      <c r="BA127" s="14">
        <v>2</v>
      </c>
      <c r="BB127" s="14">
        <v>0</v>
      </c>
      <c r="BC127" s="14">
        <v>0</v>
      </c>
      <c r="BD127" s="14">
        <v>0</v>
      </c>
      <c r="BE127" s="14">
        <v>0</v>
      </c>
      <c r="BF127" s="14">
        <v>0</v>
      </c>
      <c r="BG127" s="18">
        <v>0</v>
      </c>
      <c r="BH127" s="7">
        <v>0</v>
      </c>
      <c r="BI127" s="17">
        <v>0</v>
      </c>
      <c r="BJ127" s="1">
        <v>1</v>
      </c>
      <c r="BK127" s="7">
        <v>73317</v>
      </c>
      <c r="BL127" s="8">
        <v>0</v>
      </c>
      <c r="BM127" s="7">
        <v>0</v>
      </c>
      <c r="BN127" s="12">
        <v>0</v>
      </c>
      <c r="BO127" s="7">
        <v>1525</v>
      </c>
      <c r="BP127" s="12">
        <v>2.0799999999999999E-2</v>
      </c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</row>
    <row r="128" spans="1:110">
      <c r="A128" s="10" t="s">
        <v>324</v>
      </c>
      <c r="B128" s="8" t="s">
        <v>30</v>
      </c>
      <c r="C128" s="8" t="s">
        <v>364</v>
      </c>
      <c r="D128" s="8" t="s">
        <v>28</v>
      </c>
      <c r="F128" s="10" t="s">
        <v>171</v>
      </c>
      <c r="G128" s="8" t="s">
        <v>27</v>
      </c>
      <c r="H128" s="4">
        <v>1</v>
      </c>
      <c r="I128" s="7">
        <v>78025</v>
      </c>
      <c r="J128" s="8">
        <v>6</v>
      </c>
      <c r="K128" s="7">
        <v>42746</v>
      </c>
      <c r="L128" s="12">
        <v>0.54790000000000005</v>
      </c>
      <c r="M128" s="18">
        <v>0</v>
      </c>
      <c r="N128" s="18">
        <v>0</v>
      </c>
      <c r="O128" s="18">
        <v>0</v>
      </c>
      <c r="P128" s="18">
        <v>3</v>
      </c>
      <c r="Q128" s="18">
        <v>0</v>
      </c>
      <c r="R128" s="18">
        <v>0</v>
      </c>
      <c r="S128" s="18">
        <v>3</v>
      </c>
      <c r="T128" s="18">
        <v>1</v>
      </c>
      <c r="U128" s="7">
        <v>5562</v>
      </c>
      <c r="V128" s="17">
        <v>7.12848446010894E-2</v>
      </c>
      <c r="W128" s="4">
        <v>1</v>
      </c>
      <c r="X128" s="7">
        <v>101988</v>
      </c>
      <c r="Y128" s="8">
        <v>7</v>
      </c>
      <c r="Z128" s="7">
        <v>46406</v>
      </c>
      <c r="AA128" s="12">
        <v>0.45501431540965603</v>
      </c>
      <c r="AB128" s="7">
        <v>23676</v>
      </c>
      <c r="AC128" s="12">
        <v>0.23214495823038003</v>
      </c>
      <c r="AD128" s="14">
        <v>0</v>
      </c>
      <c r="AE128" s="14">
        <v>4</v>
      </c>
      <c r="AF128" s="14">
        <v>0</v>
      </c>
      <c r="AG128" s="14">
        <v>3</v>
      </c>
      <c r="AH128" s="14">
        <v>0</v>
      </c>
      <c r="AI128" s="14">
        <v>0</v>
      </c>
      <c r="AJ128" s="14">
        <v>0</v>
      </c>
      <c r="AK128" s="18">
        <v>2</v>
      </c>
      <c r="AL128" s="7">
        <v>9273</v>
      </c>
      <c r="AM128" s="17">
        <v>9.092246146605483E-2</v>
      </c>
      <c r="AN128" s="4">
        <v>1</v>
      </c>
      <c r="AO128" s="7">
        <v>114672</v>
      </c>
      <c r="AP128" s="8">
        <v>0</v>
      </c>
      <c r="AQ128" s="7">
        <v>0</v>
      </c>
      <c r="AR128" s="12">
        <v>0</v>
      </c>
      <c r="AS128" s="4">
        <v>1</v>
      </c>
      <c r="AT128" s="7">
        <v>128433</v>
      </c>
      <c r="AU128" s="8">
        <v>6</v>
      </c>
      <c r="AV128" s="7">
        <v>39095</v>
      </c>
      <c r="AW128" s="12">
        <v>0.30439995951196341</v>
      </c>
      <c r="AX128" s="7">
        <v>14460</v>
      </c>
      <c r="AY128" s="12">
        <v>0.11258788629090655</v>
      </c>
      <c r="AZ128" s="14">
        <v>2</v>
      </c>
      <c r="BA128" s="14">
        <v>0</v>
      </c>
      <c r="BB128" s="14">
        <v>1</v>
      </c>
      <c r="BC128" s="14">
        <v>3</v>
      </c>
      <c r="BD128" s="14">
        <v>0</v>
      </c>
      <c r="BE128" s="14">
        <v>0</v>
      </c>
      <c r="BF128" s="14">
        <v>0</v>
      </c>
      <c r="BG128" s="18">
        <v>0</v>
      </c>
      <c r="BH128" s="7">
        <v>0</v>
      </c>
      <c r="BI128" s="17">
        <v>0</v>
      </c>
      <c r="BJ128" s="1">
        <v>1</v>
      </c>
      <c r="BK128" s="7">
        <v>128433</v>
      </c>
      <c r="BL128" s="8">
        <v>1</v>
      </c>
      <c r="BM128" s="7">
        <v>3845</v>
      </c>
      <c r="BN128" s="12">
        <v>2.9937788574587527E-2</v>
      </c>
      <c r="BO128" s="7">
        <v>0</v>
      </c>
      <c r="BP128" s="12">
        <v>0</v>
      </c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</row>
    <row r="129" spans="1:110">
      <c r="A129" s="10" t="s">
        <v>324</v>
      </c>
      <c r="B129" s="8" t="s">
        <v>30</v>
      </c>
      <c r="C129" s="8" t="s">
        <v>364</v>
      </c>
      <c r="D129" s="8" t="s">
        <v>28</v>
      </c>
      <c r="E129" s="8">
        <v>1</v>
      </c>
      <c r="F129" s="10" t="s">
        <v>189</v>
      </c>
      <c r="G129" s="8" t="s">
        <v>28</v>
      </c>
      <c r="H129" s="4">
        <v>1</v>
      </c>
      <c r="I129" s="7">
        <v>683028</v>
      </c>
      <c r="J129" s="8">
        <v>25</v>
      </c>
      <c r="K129" s="7">
        <v>224897</v>
      </c>
      <c r="L129" s="12">
        <v>0.32929999999999998</v>
      </c>
      <c r="M129" s="18">
        <v>0</v>
      </c>
      <c r="N129" s="18">
        <v>8</v>
      </c>
      <c r="O129" s="18">
        <v>5</v>
      </c>
      <c r="P129" s="18">
        <v>12</v>
      </c>
      <c r="Q129" s="18">
        <v>0</v>
      </c>
      <c r="R129" s="18">
        <v>0</v>
      </c>
      <c r="S129" s="18">
        <v>0</v>
      </c>
      <c r="T129" s="18">
        <v>0</v>
      </c>
      <c r="U129" s="7">
        <v>0</v>
      </c>
      <c r="V129" s="17">
        <v>0</v>
      </c>
      <c r="W129" s="4">
        <v>1</v>
      </c>
      <c r="X129" s="7">
        <v>684633</v>
      </c>
      <c r="Y129" s="8">
        <v>36</v>
      </c>
      <c r="Z129" s="7">
        <v>315132</v>
      </c>
      <c r="AA129" s="12">
        <v>0.46029332503691761</v>
      </c>
      <c r="AB129" s="7">
        <v>68118</v>
      </c>
      <c r="AC129" s="12">
        <v>9.9495642190779582E-2</v>
      </c>
      <c r="AD129" s="14">
        <v>0</v>
      </c>
      <c r="AE129" s="14">
        <v>19</v>
      </c>
      <c r="AF129" s="14">
        <v>0</v>
      </c>
      <c r="AG129" s="14">
        <v>13</v>
      </c>
      <c r="AH129" s="14">
        <v>2</v>
      </c>
      <c r="AI129" s="14">
        <v>0</v>
      </c>
      <c r="AJ129" s="14">
        <v>2</v>
      </c>
      <c r="AK129" s="18">
        <v>7</v>
      </c>
      <c r="AL129" s="7">
        <v>74391</v>
      </c>
      <c r="AM129" s="17">
        <v>0.10865821542344585</v>
      </c>
      <c r="AN129" s="4">
        <v>1</v>
      </c>
      <c r="AO129" s="7">
        <v>704414</v>
      </c>
      <c r="AP129" s="8">
        <v>0</v>
      </c>
      <c r="AQ129" s="7">
        <v>0</v>
      </c>
      <c r="AR129" s="12">
        <v>0</v>
      </c>
      <c r="AS129" s="4">
        <v>1</v>
      </c>
      <c r="AT129" s="7">
        <v>698042</v>
      </c>
      <c r="AU129" s="8">
        <v>27</v>
      </c>
      <c r="AV129" s="7">
        <v>183675</v>
      </c>
      <c r="AW129" s="12">
        <v>0.26312886617137649</v>
      </c>
      <c r="AX129" s="7">
        <v>58860</v>
      </c>
      <c r="AY129" s="12">
        <v>8.4321573773497874E-2</v>
      </c>
      <c r="AZ129" s="14">
        <v>5</v>
      </c>
      <c r="BA129" s="14">
        <v>8</v>
      </c>
      <c r="BB129" s="14">
        <v>2</v>
      </c>
      <c r="BC129" s="14">
        <v>6</v>
      </c>
      <c r="BD129" s="14">
        <v>0</v>
      </c>
      <c r="BE129" s="14">
        <v>1</v>
      </c>
      <c r="BF129" s="14">
        <v>5</v>
      </c>
      <c r="BG129" s="18">
        <v>5</v>
      </c>
      <c r="BH129" s="7">
        <v>47135</v>
      </c>
      <c r="BI129" s="17">
        <v>6.752459021090422E-2</v>
      </c>
      <c r="BJ129" s="1">
        <v>1</v>
      </c>
      <c r="BK129" s="7">
        <v>698042</v>
      </c>
      <c r="BL129" s="8">
        <v>3</v>
      </c>
      <c r="BM129" s="7">
        <v>24390</v>
      </c>
      <c r="BN129" s="12">
        <v>3.4940590967305694E-2</v>
      </c>
      <c r="BO129" s="7">
        <v>14510</v>
      </c>
      <c r="BP129" s="12">
        <v>2.0799999999999999E-2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</row>
    <row r="130" spans="1:110">
      <c r="A130" s="10" t="s">
        <v>324</v>
      </c>
      <c r="B130" s="8" t="s">
        <v>30</v>
      </c>
      <c r="C130" s="1" t="s">
        <v>364</v>
      </c>
      <c r="D130" s="8" t="s">
        <v>28</v>
      </c>
      <c r="F130" s="2" t="s">
        <v>191</v>
      </c>
      <c r="G130" s="1" t="s">
        <v>29</v>
      </c>
      <c r="H130" s="4"/>
      <c r="I130" s="3"/>
      <c r="J130" s="1"/>
      <c r="K130" s="3"/>
      <c r="L130" s="13"/>
      <c r="M130" s="18"/>
      <c r="N130" s="18"/>
      <c r="O130" s="18"/>
      <c r="P130" s="18"/>
      <c r="Q130" s="18"/>
      <c r="R130" s="18"/>
      <c r="S130" s="18"/>
      <c r="T130" s="18"/>
      <c r="U130" s="3"/>
      <c r="V130" s="17"/>
      <c r="W130" s="4"/>
      <c r="X130" s="3"/>
      <c r="Y130" s="1"/>
      <c r="Z130" s="3"/>
      <c r="AA130" s="13"/>
      <c r="AB130" s="3"/>
      <c r="AC130" s="12"/>
      <c r="AD130" s="14"/>
      <c r="AE130" s="14"/>
      <c r="AF130" s="14"/>
      <c r="AG130" s="14"/>
      <c r="AH130" s="14"/>
      <c r="AI130" s="14"/>
      <c r="AJ130" s="14"/>
      <c r="AK130" s="18"/>
      <c r="AL130" s="3"/>
      <c r="AM130" s="17"/>
      <c r="AN130" s="1"/>
      <c r="AO130" s="3"/>
      <c r="AP130" s="1"/>
      <c r="AQ130" s="3"/>
      <c r="AR130" s="13"/>
      <c r="AS130" s="4">
        <v>1</v>
      </c>
      <c r="AT130" s="3">
        <v>51722</v>
      </c>
      <c r="AU130" s="1">
        <v>6</v>
      </c>
      <c r="AV130" s="3">
        <v>39890</v>
      </c>
      <c r="AW130" s="13">
        <v>0.77123854452650709</v>
      </c>
      <c r="AX130" s="3">
        <v>5860</v>
      </c>
      <c r="AY130" s="12">
        <v>0.11329801631800782</v>
      </c>
      <c r="AZ130" s="14">
        <v>0</v>
      </c>
      <c r="BA130" s="14">
        <v>3</v>
      </c>
      <c r="BB130" s="14">
        <v>0</v>
      </c>
      <c r="BC130" s="14">
        <v>3</v>
      </c>
      <c r="BD130" s="14">
        <v>0</v>
      </c>
      <c r="BE130" s="14">
        <v>0</v>
      </c>
      <c r="BF130" s="14">
        <v>0</v>
      </c>
      <c r="BG130" s="18">
        <v>0</v>
      </c>
      <c r="BH130" s="3">
        <v>0</v>
      </c>
      <c r="BI130" s="17">
        <v>0</v>
      </c>
      <c r="BJ130" s="1">
        <v>1</v>
      </c>
      <c r="BK130" s="3">
        <v>51722</v>
      </c>
      <c r="BL130" s="1">
        <v>0</v>
      </c>
      <c r="BM130" s="3">
        <v>0</v>
      </c>
      <c r="BN130" s="13">
        <v>0</v>
      </c>
      <c r="BO130" s="3">
        <v>1800</v>
      </c>
      <c r="BP130" s="12">
        <v>3.4799999999999998E-2</v>
      </c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</row>
    <row r="131" spans="1:110">
      <c r="A131" s="10" t="s">
        <v>330</v>
      </c>
      <c r="B131" s="8" t="s">
        <v>71</v>
      </c>
      <c r="C131" s="8" t="s">
        <v>365</v>
      </c>
      <c r="D131" s="8" t="s">
        <v>65</v>
      </c>
      <c r="E131" s="8">
        <v>1</v>
      </c>
      <c r="F131" s="10" t="s">
        <v>244</v>
      </c>
      <c r="G131" s="8" t="s">
        <v>65</v>
      </c>
      <c r="H131" s="4">
        <v>1</v>
      </c>
      <c r="I131" s="7">
        <v>32360</v>
      </c>
      <c r="J131" s="8">
        <v>0</v>
      </c>
      <c r="K131" s="8">
        <v>0</v>
      </c>
      <c r="L131" s="12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18">
        <f>SUM(Tabla2[[#This Row],[EST_BBVV91]:[ESTyPARyVIV_BBVV91]])</f>
        <v>0</v>
      </c>
      <c r="U131" s="8">
        <v>0</v>
      </c>
      <c r="V131" s="17">
        <v>0</v>
      </c>
      <c r="W131" s="4">
        <v>1</v>
      </c>
      <c r="X131" s="7">
        <v>35151</v>
      </c>
      <c r="Y131" s="8">
        <v>0</v>
      </c>
      <c r="Z131" s="8">
        <v>0</v>
      </c>
      <c r="AA131" s="12">
        <v>0</v>
      </c>
      <c r="AB131" s="8">
        <v>1661</v>
      </c>
      <c r="AC131" s="12">
        <v>4.7253278711843191E-2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18">
        <v>0</v>
      </c>
      <c r="AL131" s="8">
        <v>0</v>
      </c>
      <c r="AM131" s="17">
        <v>0</v>
      </c>
      <c r="AN131" s="4">
        <v>1</v>
      </c>
      <c r="AO131" s="7">
        <v>38004</v>
      </c>
      <c r="AP131" s="8">
        <v>0</v>
      </c>
      <c r="AQ131" s="8">
        <v>0</v>
      </c>
      <c r="AR131" s="12">
        <v>0</v>
      </c>
      <c r="AS131" s="4">
        <v>1</v>
      </c>
      <c r="AT131" s="7">
        <v>40286</v>
      </c>
      <c r="AU131" s="8">
        <v>0</v>
      </c>
      <c r="AV131" s="8">
        <v>0</v>
      </c>
      <c r="AW131" s="12">
        <v>0</v>
      </c>
      <c r="AX131" s="8">
        <v>0</v>
      </c>
      <c r="AY131" s="12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18">
        <v>0</v>
      </c>
      <c r="BH131" s="8">
        <v>0</v>
      </c>
      <c r="BI131" s="17">
        <v>0</v>
      </c>
      <c r="BJ131" s="1">
        <v>1</v>
      </c>
      <c r="BK131" s="7">
        <v>40286</v>
      </c>
      <c r="BL131" s="8">
        <v>1</v>
      </c>
      <c r="BM131" s="8">
        <v>3845</v>
      </c>
      <c r="BN131" s="12">
        <v>9.5442585513577913E-2</v>
      </c>
      <c r="BO131" s="8">
        <v>5805</v>
      </c>
      <c r="BP131" s="12">
        <v>0.14410000000000001</v>
      </c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</row>
    <row r="132" spans="1:110">
      <c r="A132" s="10" t="s">
        <v>332</v>
      </c>
      <c r="B132" s="8" t="s">
        <v>104</v>
      </c>
      <c r="C132" s="8" t="s">
        <v>366</v>
      </c>
      <c r="D132" s="8" t="s">
        <v>96</v>
      </c>
      <c r="F132" s="10" t="s">
        <v>236</v>
      </c>
      <c r="G132" s="8" t="s">
        <v>95</v>
      </c>
      <c r="H132" s="4">
        <v>1</v>
      </c>
      <c r="I132" s="7">
        <v>87670</v>
      </c>
      <c r="J132" s="8">
        <v>1</v>
      </c>
      <c r="K132" s="7">
        <v>5141</v>
      </c>
      <c r="L132" s="12">
        <v>5.8599999999999999E-2</v>
      </c>
      <c r="M132" s="18">
        <v>1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7">
        <v>0</v>
      </c>
      <c r="V132" s="17">
        <v>0</v>
      </c>
      <c r="W132" s="4">
        <v>1</v>
      </c>
      <c r="X132" s="7">
        <v>89006</v>
      </c>
      <c r="Y132" s="8">
        <v>3</v>
      </c>
      <c r="Z132" s="7">
        <v>14060</v>
      </c>
      <c r="AA132" s="12">
        <v>0.15796687863739522</v>
      </c>
      <c r="AB132" s="7">
        <v>4956</v>
      </c>
      <c r="AC132" s="12">
        <v>5.5681639440037747E-2</v>
      </c>
      <c r="AD132" s="14">
        <v>2</v>
      </c>
      <c r="AE132" s="14">
        <v>0</v>
      </c>
      <c r="AF132" s="14">
        <v>1</v>
      </c>
      <c r="AG132" s="14">
        <v>0</v>
      </c>
      <c r="AH132" s="14">
        <v>0</v>
      </c>
      <c r="AI132" s="14">
        <v>0</v>
      </c>
      <c r="AJ132" s="14">
        <v>0</v>
      </c>
      <c r="AK132" s="18">
        <v>0</v>
      </c>
      <c r="AL132" s="7">
        <v>0</v>
      </c>
      <c r="AM132" s="17">
        <v>0</v>
      </c>
      <c r="AN132" s="4">
        <v>1</v>
      </c>
      <c r="AO132" s="7">
        <v>101767</v>
      </c>
      <c r="AP132" s="8">
        <v>5</v>
      </c>
      <c r="AQ132" s="7">
        <v>22591</v>
      </c>
      <c r="AR132" s="12">
        <v>0.222</v>
      </c>
      <c r="AS132" s="4">
        <v>1</v>
      </c>
      <c r="AT132" s="7">
        <v>106849</v>
      </c>
      <c r="AU132" s="8">
        <v>8</v>
      </c>
      <c r="AV132" s="7">
        <v>59630</v>
      </c>
      <c r="AW132" s="12">
        <v>0.55807728663815293</v>
      </c>
      <c r="AX132" s="7">
        <v>10115</v>
      </c>
      <c r="AY132" s="12">
        <v>9.4666304785257699E-2</v>
      </c>
      <c r="AZ132" s="14">
        <v>0</v>
      </c>
      <c r="BA132" s="14">
        <v>0</v>
      </c>
      <c r="BB132" s="14">
        <v>7</v>
      </c>
      <c r="BC132" s="14">
        <v>0</v>
      </c>
      <c r="BD132" s="14">
        <v>0</v>
      </c>
      <c r="BE132" s="14">
        <v>1</v>
      </c>
      <c r="BF132" s="14">
        <v>0</v>
      </c>
      <c r="BG132" s="18">
        <v>0</v>
      </c>
      <c r="BH132" s="7">
        <v>0</v>
      </c>
      <c r="BI132" s="17">
        <v>0</v>
      </c>
      <c r="BJ132" s="1">
        <v>1</v>
      </c>
      <c r="BK132" s="7">
        <v>106849</v>
      </c>
      <c r="BL132" s="8">
        <v>9</v>
      </c>
      <c r="BM132" s="7">
        <v>47195</v>
      </c>
      <c r="BN132" s="12">
        <v>0.44169809731490234</v>
      </c>
      <c r="BO132" s="7">
        <v>9485</v>
      </c>
      <c r="BP132" s="12">
        <v>8.8800000000000004E-2</v>
      </c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</row>
    <row r="133" spans="1:110">
      <c r="A133" s="10" t="s">
        <v>332</v>
      </c>
      <c r="B133" s="8" t="s">
        <v>104</v>
      </c>
      <c r="C133" s="8" t="s">
        <v>366</v>
      </c>
      <c r="D133" s="8" t="s">
        <v>96</v>
      </c>
      <c r="E133" s="8">
        <v>1</v>
      </c>
      <c r="F133" s="10" t="s">
        <v>245</v>
      </c>
      <c r="G133" s="8" t="s">
        <v>96</v>
      </c>
      <c r="H133" s="4">
        <v>1</v>
      </c>
      <c r="I133" s="7">
        <v>110153</v>
      </c>
      <c r="J133" s="8">
        <v>1</v>
      </c>
      <c r="K133" s="7">
        <v>5988</v>
      </c>
      <c r="L133" s="12">
        <v>5.4399999999999997E-2</v>
      </c>
      <c r="M133" s="18">
        <v>1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7">
        <v>0</v>
      </c>
      <c r="V133" s="17">
        <v>0</v>
      </c>
      <c r="W133" s="4">
        <v>1</v>
      </c>
      <c r="X133" s="7">
        <v>113129</v>
      </c>
      <c r="Y133" s="8">
        <v>4</v>
      </c>
      <c r="Z133" s="7">
        <v>16861</v>
      </c>
      <c r="AA133" s="12">
        <v>0.14904224381016362</v>
      </c>
      <c r="AB133" s="7">
        <v>12101</v>
      </c>
      <c r="AC133" s="12">
        <v>0.10696638350909139</v>
      </c>
      <c r="AD133" s="14">
        <v>0</v>
      </c>
      <c r="AE133" s="14">
        <v>0</v>
      </c>
      <c r="AF133" s="14">
        <v>3</v>
      </c>
      <c r="AG133" s="14">
        <v>0</v>
      </c>
      <c r="AH133" s="14">
        <v>0</v>
      </c>
      <c r="AI133" s="14">
        <v>1</v>
      </c>
      <c r="AJ133" s="14">
        <v>0</v>
      </c>
      <c r="AK133" s="18">
        <v>0</v>
      </c>
      <c r="AL133" s="7">
        <v>0</v>
      </c>
      <c r="AM133" s="17">
        <v>0</v>
      </c>
      <c r="AN133" s="4">
        <v>1</v>
      </c>
      <c r="AO133" s="7">
        <v>131158</v>
      </c>
      <c r="AP133" s="8">
        <v>1</v>
      </c>
      <c r="AQ133" s="7">
        <v>4371</v>
      </c>
      <c r="AR133" s="12">
        <v>3.3300000000000003E-2</v>
      </c>
      <c r="AS133" s="4">
        <v>1</v>
      </c>
      <c r="AT133" s="7">
        <v>133223</v>
      </c>
      <c r="AU133" s="8">
        <v>11</v>
      </c>
      <c r="AV133" s="7">
        <v>89045</v>
      </c>
      <c r="AW133" s="12">
        <v>0.66839059321588612</v>
      </c>
      <c r="AX133" s="7">
        <v>13035</v>
      </c>
      <c r="AY133" s="12">
        <v>9.7843465467674501E-2</v>
      </c>
      <c r="AZ133" s="14">
        <v>1</v>
      </c>
      <c r="BA133" s="14">
        <v>0</v>
      </c>
      <c r="BB133" s="14">
        <v>8</v>
      </c>
      <c r="BC133" s="14">
        <v>1</v>
      </c>
      <c r="BD133" s="14">
        <v>0</v>
      </c>
      <c r="BE133" s="14">
        <v>0</v>
      </c>
      <c r="BF133" s="14">
        <v>1</v>
      </c>
      <c r="BG133" s="18">
        <v>1</v>
      </c>
      <c r="BH133" s="7">
        <v>6190</v>
      </c>
      <c r="BI133" s="17">
        <v>4.6463448503636762E-2</v>
      </c>
      <c r="BJ133" s="1">
        <v>1</v>
      </c>
      <c r="BK133" s="7">
        <v>133223</v>
      </c>
      <c r="BL133" s="8">
        <v>8</v>
      </c>
      <c r="BM133" s="7">
        <v>49310</v>
      </c>
      <c r="BN133" s="12">
        <v>0.37013128363720982</v>
      </c>
      <c r="BO133" s="7">
        <v>8215</v>
      </c>
      <c r="BP133" s="12">
        <v>6.1699999999999998E-2</v>
      </c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</row>
    <row r="134" spans="1:110">
      <c r="A134" s="11" t="s">
        <v>325</v>
      </c>
      <c r="B134" s="8" t="s">
        <v>34</v>
      </c>
      <c r="C134" s="8" t="s">
        <v>367</v>
      </c>
      <c r="D134" s="8" t="s">
        <v>32</v>
      </c>
      <c r="E134" s="8">
        <v>1</v>
      </c>
      <c r="F134" s="10" t="s">
        <v>194</v>
      </c>
      <c r="G134" s="8" t="s">
        <v>32</v>
      </c>
      <c r="H134" s="4">
        <v>1</v>
      </c>
      <c r="I134" s="7">
        <v>28487</v>
      </c>
      <c r="J134" s="8">
        <v>0</v>
      </c>
      <c r="K134" s="7">
        <v>0</v>
      </c>
      <c r="L134" s="12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18">
        <f>SUM(Tabla2[[#This Row],[EST_BBVV91]:[ESTyPARyVIV_BBVV91]])</f>
        <v>0</v>
      </c>
      <c r="U134" s="7">
        <v>0</v>
      </c>
      <c r="V134" s="17">
        <v>0</v>
      </c>
      <c r="W134" s="4">
        <v>1</v>
      </c>
      <c r="X134" s="7">
        <v>31158</v>
      </c>
      <c r="Y134" s="8">
        <v>0</v>
      </c>
      <c r="Z134" s="7">
        <v>0</v>
      </c>
      <c r="AA134" s="12">
        <v>0</v>
      </c>
      <c r="AB134" s="7">
        <v>3588</v>
      </c>
      <c r="AC134" s="12">
        <v>0.11515501636818795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18">
        <v>0</v>
      </c>
      <c r="AL134" s="7">
        <v>0</v>
      </c>
      <c r="AM134" s="17">
        <v>0</v>
      </c>
      <c r="AN134" s="4">
        <v>1</v>
      </c>
      <c r="AO134" s="7">
        <v>33673</v>
      </c>
      <c r="AP134" s="8">
        <v>0</v>
      </c>
      <c r="AQ134" s="7">
        <v>0</v>
      </c>
      <c r="AR134" s="12">
        <v>0</v>
      </c>
      <c r="AS134" s="4">
        <v>1</v>
      </c>
      <c r="AT134" s="7">
        <v>35660</v>
      </c>
      <c r="AU134" s="8">
        <v>1</v>
      </c>
      <c r="AV134" s="7">
        <v>6000</v>
      </c>
      <c r="AW134" s="12">
        <v>0.16825574873808188</v>
      </c>
      <c r="AX134" s="7">
        <v>0</v>
      </c>
      <c r="AY134" s="12">
        <v>0</v>
      </c>
      <c r="AZ134" s="8">
        <v>0</v>
      </c>
      <c r="BA134" s="8">
        <v>1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18">
        <v>0</v>
      </c>
      <c r="BH134" s="7">
        <v>0</v>
      </c>
      <c r="BI134" s="17">
        <v>0</v>
      </c>
      <c r="BJ134" s="1">
        <v>1</v>
      </c>
      <c r="BK134" s="7">
        <v>35660</v>
      </c>
      <c r="BL134" s="8">
        <v>1</v>
      </c>
      <c r="BM134" s="7">
        <v>3460</v>
      </c>
      <c r="BN134" s="12">
        <v>9.702748177229388E-2</v>
      </c>
      <c r="BO134" s="7">
        <v>2160</v>
      </c>
      <c r="BP134" s="12">
        <v>6.0600000000000001E-2</v>
      </c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</row>
    <row r="135" spans="1:110">
      <c r="A135" s="10" t="s">
        <v>331</v>
      </c>
      <c r="B135" s="8" t="s">
        <v>70</v>
      </c>
      <c r="C135" s="8" t="s">
        <v>368</v>
      </c>
      <c r="D135" s="8" t="s">
        <v>57</v>
      </c>
      <c r="F135" s="10" t="s">
        <v>216</v>
      </c>
      <c r="G135" s="8" t="s">
        <v>56</v>
      </c>
      <c r="H135" s="4">
        <v>1</v>
      </c>
      <c r="I135" s="7">
        <v>68700</v>
      </c>
      <c r="J135" s="8">
        <v>1</v>
      </c>
      <c r="K135" s="7">
        <v>3810</v>
      </c>
      <c r="L135" s="12">
        <v>5.5500000000000001E-2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1</v>
      </c>
      <c r="S135" s="18">
        <v>0</v>
      </c>
      <c r="T135" s="18">
        <v>0</v>
      </c>
      <c r="U135" s="7">
        <v>0</v>
      </c>
      <c r="V135" s="17">
        <v>0</v>
      </c>
      <c r="W135" s="4">
        <v>1</v>
      </c>
      <c r="X135" s="7">
        <v>75369</v>
      </c>
      <c r="Y135" s="8">
        <v>6</v>
      </c>
      <c r="Z135" s="7">
        <v>36117</v>
      </c>
      <c r="AA135" s="12">
        <v>0.47920232456314932</v>
      </c>
      <c r="AB135" s="7">
        <v>4992</v>
      </c>
      <c r="AC135" s="12">
        <v>6.6234128089798186E-2</v>
      </c>
      <c r="AD135" s="14">
        <v>6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8">
        <v>1</v>
      </c>
      <c r="AL135" s="7">
        <v>4081</v>
      </c>
      <c r="AM135" s="17">
        <v>5.4146930435590226E-2</v>
      </c>
      <c r="AN135" s="4">
        <v>1</v>
      </c>
      <c r="AO135" s="7">
        <v>83793</v>
      </c>
      <c r="AP135" s="8">
        <v>0</v>
      </c>
      <c r="AQ135" s="7">
        <v>0</v>
      </c>
      <c r="AR135" s="12">
        <v>0</v>
      </c>
      <c r="AS135" s="4">
        <v>1</v>
      </c>
      <c r="AT135" s="7">
        <v>87676</v>
      </c>
      <c r="AU135" s="8">
        <v>7</v>
      </c>
      <c r="AV135" s="7">
        <v>49425</v>
      </c>
      <c r="AW135" s="12">
        <v>0.56372325379807475</v>
      </c>
      <c r="AX135" s="7">
        <v>7300</v>
      </c>
      <c r="AY135" s="12">
        <v>8.326109767781377E-2</v>
      </c>
      <c r="AZ135" s="14">
        <v>0</v>
      </c>
      <c r="BA135" s="14">
        <v>4</v>
      </c>
      <c r="BB135" s="14">
        <v>0</v>
      </c>
      <c r="BC135" s="14">
        <v>3</v>
      </c>
      <c r="BD135" s="14">
        <v>0</v>
      </c>
      <c r="BE135" s="14">
        <v>0</v>
      </c>
      <c r="BF135" s="14">
        <v>0</v>
      </c>
      <c r="BG135" s="18">
        <v>0</v>
      </c>
      <c r="BH135" s="7">
        <v>0</v>
      </c>
      <c r="BI135" s="17">
        <v>0</v>
      </c>
      <c r="BJ135" s="1">
        <v>1</v>
      </c>
      <c r="BK135" s="7">
        <v>87676</v>
      </c>
      <c r="BL135" s="8">
        <v>1</v>
      </c>
      <c r="BM135" s="7">
        <v>6185</v>
      </c>
      <c r="BN135" s="12">
        <v>7.0543820429764134E-2</v>
      </c>
      <c r="BO135" s="7">
        <v>8255</v>
      </c>
      <c r="BP135" s="12">
        <v>9.4200000000000006E-2</v>
      </c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</row>
    <row r="136" spans="1:110">
      <c r="A136" s="10" t="s">
        <v>331</v>
      </c>
      <c r="B136" s="8" t="s">
        <v>70</v>
      </c>
      <c r="C136" s="8" t="s">
        <v>368</v>
      </c>
      <c r="D136" s="8" t="s">
        <v>57</v>
      </c>
      <c r="E136" s="8">
        <v>1</v>
      </c>
      <c r="F136" s="10" t="s">
        <v>217</v>
      </c>
      <c r="G136" s="8" t="s">
        <v>57</v>
      </c>
      <c r="H136" s="4">
        <v>1</v>
      </c>
      <c r="I136" s="7">
        <v>58048</v>
      </c>
      <c r="J136" s="8">
        <v>0</v>
      </c>
      <c r="K136" s="7">
        <v>0</v>
      </c>
      <c r="L136" s="12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18">
        <f>SUM(Tabla2[[#This Row],[EST_BBVV91]:[ESTyPARyVIV_BBVV91]])</f>
        <v>0</v>
      </c>
      <c r="U136" s="7">
        <v>0</v>
      </c>
      <c r="V136" s="17">
        <v>0</v>
      </c>
      <c r="W136" s="4">
        <v>1</v>
      </c>
      <c r="X136" s="7">
        <v>68382</v>
      </c>
      <c r="Y136" s="8">
        <v>1</v>
      </c>
      <c r="Z136" s="7">
        <v>9107</v>
      </c>
      <c r="AA136" s="12">
        <v>0.13317832178058553</v>
      </c>
      <c r="AB136" s="7">
        <v>4433</v>
      </c>
      <c r="AC136" s="12">
        <v>6.4827001257640904E-2</v>
      </c>
      <c r="AD136" s="14">
        <v>0</v>
      </c>
      <c r="AE136" s="14">
        <v>0</v>
      </c>
      <c r="AF136" s="14">
        <v>1</v>
      </c>
      <c r="AG136" s="14">
        <v>0</v>
      </c>
      <c r="AH136" s="14">
        <v>0</v>
      </c>
      <c r="AI136" s="14">
        <v>0</v>
      </c>
      <c r="AJ136" s="14">
        <v>0</v>
      </c>
      <c r="AK136" s="18">
        <v>0</v>
      </c>
      <c r="AL136" s="7">
        <v>0</v>
      </c>
      <c r="AM136" s="17">
        <v>0</v>
      </c>
      <c r="AN136" s="4">
        <v>1</v>
      </c>
      <c r="AO136" s="7">
        <v>77601</v>
      </c>
      <c r="AP136" s="8">
        <v>0</v>
      </c>
      <c r="AQ136" s="7">
        <v>0</v>
      </c>
      <c r="AR136" s="12">
        <v>0</v>
      </c>
      <c r="AS136" s="4">
        <v>1</v>
      </c>
      <c r="AT136" s="7">
        <v>83872</v>
      </c>
      <c r="AU136" s="8">
        <v>2</v>
      </c>
      <c r="AV136" s="7">
        <v>7770</v>
      </c>
      <c r="AW136" s="12">
        <v>9.2641167493323157E-2</v>
      </c>
      <c r="AX136" s="7">
        <v>5285</v>
      </c>
      <c r="AY136" s="12">
        <v>6.3012685997710802E-2</v>
      </c>
      <c r="AZ136" s="14">
        <v>2</v>
      </c>
      <c r="BA136" s="14">
        <v>0</v>
      </c>
      <c r="BB136" s="14">
        <v>0</v>
      </c>
      <c r="BC136" s="14">
        <v>0</v>
      </c>
      <c r="BD136" s="14">
        <v>0</v>
      </c>
      <c r="BE136" s="14">
        <v>0</v>
      </c>
      <c r="BF136" s="14">
        <v>0</v>
      </c>
      <c r="BG136" s="18">
        <v>0</v>
      </c>
      <c r="BH136" s="7">
        <v>0</v>
      </c>
      <c r="BI136" s="17">
        <v>0</v>
      </c>
      <c r="BJ136" s="1">
        <v>1</v>
      </c>
      <c r="BK136" s="7">
        <v>83872</v>
      </c>
      <c r="BL136" s="8">
        <v>0</v>
      </c>
      <c r="BM136" s="7">
        <v>0</v>
      </c>
      <c r="BN136" s="12">
        <v>0</v>
      </c>
      <c r="BO136" s="7">
        <v>6980</v>
      </c>
      <c r="BP136" s="12">
        <v>8.3199999999999996E-2</v>
      </c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</row>
    <row r="137" spans="1:110">
      <c r="A137" s="10" t="s">
        <v>333</v>
      </c>
      <c r="B137" s="8" t="s">
        <v>135</v>
      </c>
      <c r="C137" s="8" t="s">
        <v>369</v>
      </c>
      <c r="D137" s="8" t="s">
        <v>111</v>
      </c>
      <c r="F137" s="10" t="s">
        <v>262</v>
      </c>
      <c r="G137" s="8" t="s">
        <v>527</v>
      </c>
      <c r="H137" s="4">
        <v>1</v>
      </c>
      <c r="I137" s="7">
        <v>51806</v>
      </c>
      <c r="J137" s="8">
        <v>1</v>
      </c>
      <c r="K137" s="7">
        <v>3983</v>
      </c>
      <c r="L137" s="12">
        <v>7.6899999999999996E-2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1</v>
      </c>
      <c r="S137" s="18">
        <v>0</v>
      </c>
      <c r="T137" s="18">
        <v>0</v>
      </c>
      <c r="U137" s="7">
        <v>0</v>
      </c>
      <c r="V137" s="17">
        <v>0</v>
      </c>
      <c r="W137" s="4">
        <v>1</v>
      </c>
      <c r="X137" s="7">
        <v>59850</v>
      </c>
      <c r="Y137" s="8">
        <v>0</v>
      </c>
      <c r="Z137" s="7">
        <v>0</v>
      </c>
      <c r="AA137" s="12">
        <v>0</v>
      </c>
      <c r="AB137" s="7">
        <v>7525</v>
      </c>
      <c r="AC137" s="12">
        <v>0.12573099415204678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18">
        <v>0</v>
      </c>
      <c r="AL137" s="7">
        <v>0</v>
      </c>
      <c r="AM137" s="17">
        <v>0</v>
      </c>
      <c r="AN137" s="4">
        <v>1</v>
      </c>
      <c r="AO137" s="7">
        <v>74827</v>
      </c>
      <c r="AP137" s="8">
        <v>4</v>
      </c>
      <c r="AQ137" s="7">
        <v>26827</v>
      </c>
      <c r="AR137" s="12">
        <v>0.35849999999999999</v>
      </c>
      <c r="AS137" s="4">
        <v>1</v>
      </c>
      <c r="AT137" s="7">
        <v>77595</v>
      </c>
      <c r="AU137" s="8">
        <v>6</v>
      </c>
      <c r="AV137" s="7">
        <v>41335</v>
      </c>
      <c r="AW137" s="12">
        <v>0.53270184934596299</v>
      </c>
      <c r="AX137" s="7">
        <v>3840</v>
      </c>
      <c r="AY137" s="12">
        <v>4.9487724724531217E-2</v>
      </c>
      <c r="AZ137" s="8">
        <v>0</v>
      </c>
      <c r="BA137" s="8">
        <v>2</v>
      </c>
      <c r="BB137" s="8">
        <v>3</v>
      </c>
      <c r="BC137" s="8">
        <v>0</v>
      </c>
      <c r="BD137" s="8">
        <v>0</v>
      </c>
      <c r="BE137" s="8">
        <v>1</v>
      </c>
      <c r="BF137" s="8">
        <v>0</v>
      </c>
      <c r="BG137" s="18">
        <v>0</v>
      </c>
      <c r="BH137" s="7">
        <v>0</v>
      </c>
      <c r="BI137" s="17">
        <v>0</v>
      </c>
      <c r="BJ137" s="1">
        <v>1</v>
      </c>
      <c r="BK137" s="7">
        <v>77595</v>
      </c>
      <c r="BL137" s="8">
        <v>5</v>
      </c>
      <c r="BM137" s="7">
        <v>32705</v>
      </c>
      <c r="BN137" s="12">
        <v>0.42148334299890455</v>
      </c>
      <c r="BO137" s="7">
        <v>9340</v>
      </c>
      <c r="BP137" s="12">
        <v>0.12039999999999999</v>
      </c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</row>
    <row r="138" spans="1:110">
      <c r="A138" s="2" t="s">
        <v>333</v>
      </c>
      <c r="B138" s="1" t="s">
        <v>135</v>
      </c>
      <c r="C138" s="1" t="s">
        <v>369</v>
      </c>
      <c r="D138" s="8" t="s">
        <v>111</v>
      </c>
      <c r="E138" s="1"/>
      <c r="F138" s="2" t="s">
        <v>267</v>
      </c>
      <c r="G138" s="1" t="s">
        <v>108</v>
      </c>
      <c r="H138" s="4"/>
      <c r="I138" s="3"/>
      <c r="J138" s="1"/>
      <c r="K138" s="3"/>
      <c r="L138" s="13"/>
      <c r="M138" s="18"/>
      <c r="N138" s="18"/>
      <c r="O138" s="18"/>
      <c r="P138" s="18"/>
      <c r="Q138" s="18"/>
      <c r="R138" s="18"/>
      <c r="S138" s="18"/>
      <c r="T138" s="18"/>
      <c r="U138" s="3"/>
      <c r="V138" s="17"/>
      <c r="W138" s="4">
        <v>1</v>
      </c>
      <c r="X138" s="3">
        <v>46974</v>
      </c>
      <c r="Y138" s="1">
        <v>1</v>
      </c>
      <c r="Z138" s="3">
        <v>7019</v>
      </c>
      <c r="AA138" s="13">
        <v>0.14942308511091243</v>
      </c>
      <c r="AB138" s="3">
        <v>7139</v>
      </c>
      <c r="AC138" s="12">
        <v>0.15197768978583898</v>
      </c>
      <c r="AD138" s="14">
        <v>1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8">
        <v>0</v>
      </c>
      <c r="AL138" s="3">
        <v>0</v>
      </c>
      <c r="AM138" s="17">
        <v>0</v>
      </c>
      <c r="AN138" s="4">
        <v>1</v>
      </c>
      <c r="AO138" s="3">
        <v>57343</v>
      </c>
      <c r="AP138" s="1">
        <v>0</v>
      </c>
      <c r="AQ138" s="3">
        <v>0</v>
      </c>
      <c r="AR138" s="13">
        <v>0</v>
      </c>
      <c r="AS138" s="4">
        <v>1</v>
      </c>
      <c r="AT138" s="3">
        <v>66853</v>
      </c>
      <c r="AU138" s="1">
        <v>2</v>
      </c>
      <c r="AV138" s="3">
        <v>18415</v>
      </c>
      <c r="AW138" s="13">
        <v>0.27545510298715092</v>
      </c>
      <c r="AX138" s="3">
        <v>3740</v>
      </c>
      <c r="AY138" s="12">
        <v>5.5943637533094996E-2</v>
      </c>
      <c r="AZ138" s="14">
        <v>0</v>
      </c>
      <c r="BA138" s="14">
        <v>1</v>
      </c>
      <c r="BB138" s="14">
        <v>1</v>
      </c>
      <c r="BC138" s="14">
        <v>0</v>
      </c>
      <c r="BD138" s="14">
        <v>0</v>
      </c>
      <c r="BE138" s="14">
        <v>0</v>
      </c>
      <c r="BF138" s="14">
        <v>0</v>
      </c>
      <c r="BG138" s="18">
        <v>0</v>
      </c>
      <c r="BH138" s="3">
        <v>0</v>
      </c>
      <c r="BI138" s="17">
        <v>0</v>
      </c>
      <c r="BJ138" s="1">
        <v>1</v>
      </c>
      <c r="BK138" s="3">
        <v>66853</v>
      </c>
      <c r="BL138" s="1">
        <v>0</v>
      </c>
      <c r="BM138" s="3">
        <v>0</v>
      </c>
      <c r="BN138" s="13">
        <v>0</v>
      </c>
      <c r="BO138" s="3">
        <v>3145</v>
      </c>
      <c r="BP138" s="12">
        <v>4.7E-2</v>
      </c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</row>
    <row r="139" spans="1:110">
      <c r="A139" s="10" t="s">
        <v>333</v>
      </c>
      <c r="B139" s="8" t="s">
        <v>135</v>
      </c>
      <c r="C139" s="8" t="s">
        <v>369</v>
      </c>
      <c r="D139" s="8" t="s">
        <v>111</v>
      </c>
      <c r="F139" s="10" t="s">
        <v>269</v>
      </c>
      <c r="G139" s="8" t="s">
        <v>109</v>
      </c>
      <c r="H139" s="4">
        <v>1</v>
      </c>
      <c r="I139" s="7">
        <v>55457</v>
      </c>
      <c r="J139" s="8">
        <v>0</v>
      </c>
      <c r="K139" s="7">
        <v>0</v>
      </c>
      <c r="L139" s="12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18">
        <f>SUM(Tabla2[[#This Row],[EST_BBVV91]:[ESTyPARyVIV_BBVV91]])</f>
        <v>0</v>
      </c>
      <c r="U139" s="7">
        <v>0</v>
      </c>
      <c r="V139" s="17">
        <v>0</v>
      </c>
      <c r="W139" s="4">
        <v>1</v>
      </c>
      <c r="X139" s="7">
        <v>56471</v>
      </c>
      <c r="Y139" s="8">
        <v>0</v>
      </c>
      <c r="Z139" s="7">
        <v>0</v>
      </c>
      <c r="AA139" s="12">
        <v>0</v>
      </c>
      <c r="AB139" s="7">
        <v>8002</v>
      </c>
      <c r="AC139" s="12">
        <v>0.14170105009650971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18">
        <v>0</v>
      </c>
      <c r="AL139" s="7">
        <v>0</v>
      </c>
      <c r="AM139" s="17">
        <v>0</v>
      </c>
      <c r="AN139" s="4">
        <v>1</v>
      </c>
      <c r="AO139" s="7">
        <v>62702</v>
      </c>
      <c r="AP139" s="8">
        <v>0</v>
      </c>
      <c r="AQ139" s="7">
        <v>0</v>
      </c>
      <c r="AR139" s="12">
        <v>0</v>
      </c>
      <c r="AS139" s="4">
        <v>1</v>
      </c>
      <c r="AT139" s="7">
        <v>65813</v>
      </c>
      <c r="AU139" s="8">
        <v>4</v>
      </c>
      <c r="AV139" s="7">
        <v>27280</v>
      </c>
      <c r="AW139" s="12">
        <v>0.41450777202072536</v>
      </c>
      <c r="AX139" s="7">
        <v>8465</v>
      </c>
      <c r="AY139" s="12">
        <v>0.12862200477109387</v>
      </c>
      <c r="AZ139" s="8">
        <v>1</v>
      </c>
      <c r="BA139" s="8">
        <v>1</v>
      </c>
      <c r="BB139" s="8">
        <v>2</v>
      </c>
      <c r="BC139" s="8">
        <v>0</v>
      </c>
      <c r="BD139" s="8">
        <v>0</v>
      </c>
      <c r="BE139" s="8">
        <v>0</v>
      </c>
      <c r="BF139" s="8">
        <v>0</v>
      </c>
      <c r="BG139" s="18">
        <v>0</v>
      </c>
      <c r="BH139" s="7">
        <v>0</v>
      </c>
      <c r="BI139" s="17">
        <v>0</v>
      </c>
      <c r="BJ139" s="1">
        <v>1</v>
      </c>
      <c r="BK139" s="7">
        <v>65813</v>
      </c>
      <c r="BL139" s="8">
        <v>1</v>
      </c>
      <c r="BM139" s="7">
        <v>4415</v>
      </c>
      <c r="BN139" s="12">
        <v>6.7084010757753026E-2</v>
      </c>
      <c r="BO139" s="7">
        <v>6210</v>
      </c>
      <c r="BP139" s="12">
        <v>9.4399999999999998E-2</v>
      </c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</row>
    <row r="140" spans="1:110">
      <c r="A140" s="10" t="s">
        <v>333</v>
      </c>
      <c r="B140" s="8" t="s">
        <v>135</v>
      </c>
      <c r="C140" s="8" t="s">
        <v>369</v>
      </c>
      <c r="D140" s="8" t="s">
        <v>111</v>
      </c>
      <c r="F140" s="10" t="s">
        <v>272</v>
      </c>
      <c r="G140" s="8" t="s">
        <v>110</v>
      </c>
      <c r="H140" s="4">
        <v>1</v>
      </c>
      <c r="I140" s="7">
        <v>56564</v>
      </c>
      <c r="J140" s="8">
        <v>2</v>
      </c>
      <c r="K140" s="7">
        <v>9431</v>
      </c>
      <c r="L140" s="12">
        <v>0.16669999999999999</v>
      </c>
      <c r="M140" s="18">
        <v>1</v>
      </c>
      <c r="N140" s="18">
        <v>0</v>
      </c>
      <c r="O140" s="18">
        <v>0</v>
      </c>
      <c r="P140" s="18">
        <v>1</v>
      </c>
      <c r="Q140" s="18">
        <v>0</v>
      </c>
      <c r="R140" s="18">
        <v>0</v>
      </c>
      <c r="S140" s="18">
        <v>0</v>
      </c>
      <c r="T140" s="18">
        <v>0</v>
      </c>
      <c r="U140" s="7">
        <v>0</v>
      </c>
      <c r="V140" s="17">
        <v>0</v>
      </c>
      <c r="W140" s="4">
        <v>1</v>
      </c>
      <c r="X140" s="7">
        <v>65417</v>
      </c>
      <c r="Y140" s="8">
        <v>3</v>
      </c>
      <c r="Z140" s="7">
        <v>22035</v>
      </c>
      <c r="AA140" s="12">
        <v>0.3368390479538958</v>
      </c>
      <c r="AB140" s="7">
        <v>3229</v>
      </c>
      <c r="AC140" s="12">
        <v>4.9360258036901722E-2</v>
      </c>
      <c r="AD140" s="14">
        <v>1</v>
      </c>
      <c r="AE140" s="14">
        <v>0</v>
      </c>
      <c r="AF140" s="14">
        <v>0</v>
      </c>
      <c r="AG140" s="14">
        <v>0</v>
      </c>
      <c r="AH140" s="14">
        <v>0</v>
      </c>
      <c r="AI140" s="14">
        <v>2</v>
      </c>
      <c r="AJ140" s="14">
        <v>0</v>
      </c>
      <c r="AK140" s="18">
        <v>0</v>
      </c>
      <c r="AL140" s="7">
        <v>0</v>
      </c>
      <c r="AM140" s="17">
        <v>0</v>
      </c>
      <c r="AN140" s="4">
        <v>1</v>
      </c>
      <c r="AO140" s="7">
        <v>74616</v>
      </c>
      <c r="AP140" s="8">
        <v>0</v>
      </c>
      <c r="AQ140" s="7">
        <v>0</v>
      </c>
      <c r="AR140" s="12">
        <v>0</v>
      </c>
      <c r="AS140" s="4">
        <v>1</v>
      </c>
      <c r="AT140" s="7">
        <v>80829</v>
      </c>
      <c r="AU140" s="8">
        <v>5</v>
      </c>
      <c r="AV140" s="7">
        <v>39700</v>
      </c>
      <c r="AW140" s="12">
        <v>0.49116035086417004</v>
      </c>
      <c r="AX140" s="7">
        <v>4130</v>
      </c>
      <c r="AY140" s="12">
        <v>5.1095522646574867E-2</v>
      </c>
      <c r="AZ140" s="14">
        <v>1</v>
      </c>
      <c r="BA140" s="14">
        <v>1</v>
      </c>
      <c r="BB140" s="14">
        <v>2</v>
      </c>
      <c r="BC140" s="14">
        <v>0</v>
      </c>
      <c r="BD140" s="14">
        <v>0</v>
      </c>
      <c r="BE140" s="14">
        <v>1</v>
      </c>
      <c r="BF140" s="14">
        <v>0</v>
      </c>
      <c r="BG140" s="18">
        <v>0</v>
      </c>
      <c r="BH140" s="7">
        <v>0</v>
      </c>
      <c r="BI140" s="17">
        <v>0</v>
      </c>
      <c r="BJ140" s="1">
        <v>1</v>
      </c>
      <c r="BK140" s="7">
        <v>80829</v>
      </c>
      <c r="BL140" s="8">
        <v>1</v>
      </c>
      <c r="BM140" s="7">
        <v>8020</v>
      </c>
      <c r="BN140" s="12">
        <v>9.9221813952912935E-2</v>
      </c>
      <c r="BO140" s="7">
        <v>0</v>
      </c>
      <c r="BP140" s="12">
        <v>0</v>
      </c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</row>
    <row r="141" spans="1:110">
      <c r="A141" s="10" t="s">
        <v>333</v>
      </c>
      <c r="B141" s="8" t="s">
        <v>135</v>
      </c>
      <c r="C141" s="8" t="s">
        <v>369</v>
      </c>
      <c r="D141" s="8" t="s">
        <v>111</v>
      </c>
      <c r="E141" s="8">
        <v>1</v>
      </c>
      <c r="F141" s="10" t="s">
        <v>274</v>
      </c>
      <c r="G141" s="8" t="s">
        <v>528</v>
      </c>
      <c r="H141" s="4">
        <v>1</v>
      </c>
      <c r="I141" s="7">
        <v>752909</v>
      </c>
      <c r="J141" s="8">
        <v>2</v>
      </c>
      <c r="K141" s="7">
        <v>19587</v>
      </c>
      <c r="L141" s="12">
        <v>2.5999999999999999E-2</v>
      </c>
      <c r="M141" s="18">
        <v>0</v>
      </c>
      <c r="N141" s="18">
        <v>0</v>
      </c>
      <c r="O141" s="18">
        <v>1</v>
      </c>
      <c r="P141" s="18">
        <v>0</v>
      </c>
      <c r="Q141" s="18">
        <v>1</v>
      </c>
      <c r="R141" s="18">
        <v>0</v>
      </c>
      <c r="S141" s="18">
        <v>0</v>
      </c>
      <c r="T141" s="18">
        <v>0</v>
      </c>
      <c r="U141" s="7">
        <v>0</v>
      </c>
      <c r="V141" s="17">
        <v>0</v>
      </c>
      <c r="W141" s="4">
        <v>1</v>
      </c>
      <c r="X141" s="7">
        <v>738441</v>
      </c>
      <c r="Y141" s="8">
        <v>8</v>
      </c>
      <c r="Z141" s="7">
        <v>53524</v>
      </c>
      <c r="AA141" s="12">
        <v>7.2482432584322923E-2</v>
      </c>
      <c r="AB141" s="7">
        <v>67539</v>
      </c>
      <c r="AC141" s="12">
        <v>9.1461606275924548E-2</v>
      </c>
      <c r="AD141" s="14">
        <v>0</v>
      </c>
      <c r="AE141" s="14">
        <v>0</v>
      </c>
      <c r="AF141" s="14">
        <v>5</v>
      </c>
      <c r="AG141" s="14">
        <v>3</v>
      </c>
      <c r="AH141" s="14">
        <v>0</v>
      </c>
      <c r="AI141" s="14">
        <v>0</v>
      </c>
      <c r="AJ141" s="14">
        <v>0</v>
      </c>
      <c r="AK141" s="18">
        <v>0</v>
      </c>
      <c r="AL141" s="7">
        <v>0</v>
      </c>
      <c r="AM141" s="17">
        <v>0</v>
      </c>
      <c r="AN141" s="4">
        <v>1</v>
      </c>
      <c r="AO141" s="7">
        <v>805304</v>
      </c>
      <c r="AP141" s="8">
        <v>13</v>
      </c>
      <c r="AQ141" s="7">
        <v>88673</v>
      </c>
      <c r="AR141" s="12">
        <v>0.1101</v>
      </c>
      <c r="AS141" s="4">
        <v>1</v>
      </c>
      <c r="AT141" s="7">
        <v>792054</v>
      </c>
      <c r="AU141" s="8">
        <v>39</v>
      </c>
      <c r="AV141" s="7">
        <v>326185</v>
      </c>
      <c r="AW141" s="12">
        <v>0.41182166872460718</v>
      </c>
      <c r="AX141" s="7">
        <v>43610</v>
      </c>
      <c r="AY141" s="12">
        <v>5.505937726468145E-2</v>
      </c>
      <c r="AZ141" s="14">
        <v>2</v>
      </c>
      <c r="BA141" s="14">
        <v>2</v>
      </c>
      <c r="BB141" s="14">
        <v>33</v>
      </c>
      <c r="BC141" s="14">
        <v>0</v>
      </c>
      <c r="BD141" s="14">
        <v>1</v>
      </c>
      <c r="BE141" s="14">
        <v>0</v>
      </c>
      <c r="BF141" s="14">
        <v>1</v>
      </c>
      <c r="BG141" s="18">
        <v>0</v>
      </c>
      <c r="BH141" s="7">
        <v>0</v>
      </c>
      <c r="BI141" s="17">
        <v>0</v>
      </c>
      <c r="BJ141" s="1">
        <v>1</v>
      </c>
      <c r="BK141" s="7">
        <v>792054</v>
      </c>
      <c r="BL141" s="8">
        <v>27</v>
      </c>
      <c r="BM141" s="7">
        <v>162345</v>
      </c>
      <c r="BN141" s="12">
        <v>0.20496708557749851</v>
      </c>
      <c r="BO141" s="7">
        <v>57245</v>
      </c>
      <c r="BP141" s="12">
        <v>7.2300000000000003E-2</v>
      </c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</row>
    <row r="142" spans="1:110">
      <c r="A142" s="10" t="s">
        <v>330</v>
      </c>
      <c r="B142" s="8" t="s">
        <v>71</v>
      </c>
      <c r="C142" s="8" t="s">
        <v>370</v>
      </c>
      <c r="D142" s="8" t="s">
        <v>72</v>
      </c>
      <c r="E142" s="8">
        <v>1</v>
      </c>
      <c r="F142" s="10" t="s">
        <v>247</v>
      </c>
      <c r="G142" s="8" t="s">
        <v>72</v>
      </c>
      <c r="H142" s="4">
        <v>1</v>
      </c>
      <c r="I142" s="7">
        <v>330700</v>
      </c>
      <c r="J142" s="8">
        <v>3</v>
      </c>
      <c r="K142" s="7">
        <v>19829</v>
      </c>
      <c r="L142" s="12">
        <v>0.06</v>
      </c>
      <c r="M142" s="18">
        <v>0</v>
      </c>
      <c r="N142" s="18">
        <v>1</v>
      </c>
      <c r="O142" s="18">
        <v>1</v>
      </c>
      <c r="P142" s="18">
        <v>0</v>
      </c>
      <c r="Q142" s="18">
        <v>1</v>
      </c>
      <c r="R142" s="18">
        <v>0</v>
      </c>
      <c r="S142" s="18">
        <v>0</v>
      </c>
      <c r="T142" s="18">
        <v>0</v>
      </c>
      <c r="U142" s="7">
        <v>0</v>
      </c>
      <c r="V142" s="17">
        <v>0</v>
      </c>
      <c r="W142" s="4">
        <v>1</v>
      </c>
      <c r="X142" s="7">
        <v>316580</v>
      </c>
      <c r="Y142" s="8">
        <v>6</v>
      </c>
      <c r="Z142" s="7">
        <v>32684</v>
      </c>
      <c r="AA142" s="12">
        <v>0.10324088697959441</v>
      </c>
      <c r="AB142" s="7">
        <v>20976</v>
      </c>
      <c r="AC142" s="12">
        <v>6.6258133805041378E-2</v>
      </c>
      <c r="AD142" s="14">
        <v>0</v>
      </c>
      <c r="AE142" s="14">
        <v>2</v>
      </c>
      <c r="AF142" s="14">
        <v>3</v>
      </c>
      <c r="AG142" s="14">
        <v>0</v>
      </c>
      <c r="AH142" s="14">
        <v>1</v>
      </c>
      <c r="AI142" s="14">
        <v>0</v>
      </c>
      <c r="AJ142" s="14">
        <v>0</v>
      </c>
      <c r="AK142" s="18">
        <v>0</v>
      </c>
      <c r="AL142" s="7">
        <v>0</v>
      </c>
      <c r="AM142" s="17">
        <v>0</v>
      </c>
      <c r="AN142" s="4">
        <v>1</v>
      </c>
      <c r="AO142" s="7">
        <v>319943</v>
      </c>
      <c r="AP142" s="8">
        <v>0</v>
      </c>
      <c r="AQ142" s="7">
        <v>0</v>
      </c>
      <c r="AR142" s="12">
        <v>0</v>
      </c>
      <c r="AS142" s="4">
        <v>1</v>
      </c>
      <c r="AT142" s="7">
        <v>311682</v>
      </c>
      <c r="AU142" s="8">
        <v>4</v>
      </c>
      <c r="AV142" s="7">
        <v>23810</v>
      </c>
      <c r="AW142" s="12">
        <v>7.639196360392965E-2</v>
      </c>
      <c r="AX142" s="7">
        <v>15610</v>
      </c>
      <c r="AY142" s="12">
        <v>5.0083097516058037E-2</v>
      </c>
      <c r="AZ142" s="14">
        <v>0</v>
      </c>
      <c r="BA142" s="14">
        <v>2</v>
      </c>
      <c r="BB142" s="14">
        <v>1</v>
      </c>
      <c r="BC142" s="14">
        <v>0</v>
      </c>
      <c r="BD142" s="14">
        <v>0</v>
      </c>
      <c r="BE142" s="14">
        <v>1</v>
      </c>
      <c r="BF142" s="14">
        <v>0</v>
      </c>
      <c r="BG142" s="18">
        <v>0</v>
      </c>
      <c r="BH142" s="7">
        <v>0</v>
      </c>
      <c r="BI142" s="17">
        <v>0</v>
      </c>
      <c r="BJ142" s="1">
        <v>1</v>
      </c>
      <c r="BK142" s="7">
        <v>311682</v>
      </c>
      <c r="BL142" s="8">
        <v>3</v>
      </c>
      <c r="BM142" s="7">
        <v>16445</v>
      </c>
      <c r="BN142" s="12">
        <v>5.276211009939618E-2</v>
      </c>
      <c r="BO142" s="7">
        <v>5595</v>
      </c>
      <c r="BP142" s="12">
        <v>1.7999999999999999E-2</v>
      </c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</row>
    <row r="143" spans="1:110">
      <c r="A143" s="10" t="s">
        <v>339</v>
      </c>
      <c r="B143" s="8" t="s">
        <v>161</v>
      </c>
      <c r="C143" s="8" t="s">
        <v>371</v>
      </c>
      <c r="D143" t="s">
        <v>383</v>
      </c>
      <c r="F143" s="10" t="s">
        <v>303</v>
      </c>
      <c r="G143" s="8" t="s">
        <v>153</v>
      </c>
      <c r="H143" s="4">
        <v>1</v>
      </c>
      <c r="I143" s="7">
        <v>105088</v>
      </c>
      <c r="J143" s="8">
        <v>3</v>
      </c>
      <c r="K143" s="7">
        <v>15345</v>
      </c>
      <c r="L143" s="12">
        <v>0.14599999999999999</v>
      </c>
      <c r="M143" s="18">
        <v>0</v>
      </c>
      <c r="N143" s="18">
        <v>3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7">
        <v>0</v>
      </c>
      <c r="V143" s="17">
        <v>0</v>
      </c>
      <c r="W143" s="4">
        <v>1</v>
      </c>
      <c r="X143" s="7">
        <v>94478</v>
      </c>
      <c r="Y143" s="8">
        <v>2</v>
      </c>
      <c r="Z143" s="7">
        <v>14943</v>
      </c>
      <c r="AA143" s="12">
        <v>0.15816380533034147</v>
      </c>
      <c r="AB143" s="7">
        <v>18799</v>
      </c>
      <c r="AC143" s="12">
        <v>0.19897753974470248</v>
      </c>
      <c r="AD143" s="14">
        <v>0</v>
      </c>
      <c r="AE143" s="14">
        <v>0</v>
      </c>
      <c r="AF143" s="14">
        <v>2</v>
      </c>
      <c r="AG143" s="14">
        <v>0</v>
      </c>
      <c r="AH143" s="14">
        <v>0</v>
      </c>
      <c r="AI143" s="14">
        <v>0</v>
      </c>
      <c r="AJ143" s="14">
        <v>0</v>
      </c>
      <c r="AK143" s="18">
        <v>0</v>
      </c>
      <c r="AL143" s="7">
        <v>0</v>
      </c>
      <c r="AM143" s="17">
        <v>0</v>
      </c>
      <c r="AN143" s="4">
        <v>1</v>
      </c>
      <c r="AO143" s="7">
        <v>95640</v>
      </c>
      <c r="AP143" s="8">
        <v>0</v>
      </c>
      <c r="AQ143" s="7">
        <v>0</v>
      </c>
      <c r="AR143" s="12">
        <v>0</v>
      </c>
      <c r="AS143" s="4">
        <v>1</v>
      </c>
      <c r="AT143" s="7">
        <v>100064</v>
      </c>
      <c r="AU143" s="8">
        <v>1</v>
      </c>
      <c r="AV143" s="7">
        <v>5190</v>
      </c>
      <c r="AW143" s="12">
        <v>5.1866805244643426E-2</v>
      </c>
      <c r="AX143" s="7">
        <v>14045</v>
      </c>
      <c r="AY143" s="12">
        <v>0.14036016949152541</v>
      </c>
      <c r="AZ143" s="14">
        <v>0</v>
      </c>
      <c r="BA143" s="14">
        <v>0</v>
      </c>
      <c r="BB143" s="14">
        <v>1</v>
      </c>
      <c r="BC143" s="14">
        <v>0</v>
      </c>
      <c r="BD143" s="14">
        <v>0</v>
      </c>
      <c r="BE143" s="14">
        <v>0</v>
      </c>
      <c r="BF143" s="14">
        <v>0</v>
      </c>
      <c r="BG143" s="18">
        <v>0</v>
      </c>
      <c r="BH143" s="7">
        <v>0</v>
      </c>
      <c r="BI143" s="17">
        <v>0</v>
      </c>
      <c r="BJ143" s="1">
        <v>1</v>
      </c>
      <c r="BK143" s="7">
        <v>100064</v>
      </c>
      <c r="BL143" s="8">
        <v>0</v>
      </c>
      <c r="BM143" s="7">
        <v>0</v>
      </c>
      <c r="BN143" s="12">
        <v>0</v>
      </c>
      <c r="BO143" s="7">
        <v>3320</v>
      </c>
      <c r="BP143" s="12">
        <v>3.32E-2</v>
      </c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</row>
    <row r="144" spans="1:110">
      <c r="A144" s="10" t="s">
        <v>339</v>
      </c>
      <c r="B144" s="8" t="s">
        <v>161</v>
      </c>
      <c r="C144" s="8" t="s">
        <v>371</v>
      </c>
      <c r="D144" t="s">
        <v>383</v>
      </c>
      <c r="F144" s="10" t="s">
        <v>311</v>
      </c>
      <c r="G144" s="8" t="s">
        <v>154</v>
      </c>
      <c r="H144" s="4">
        <v>1</v>
      </c>
      <c r="I144" s="8">
        <v>50224</v>
      </c>
      <c r="J144" s="8">
        <v>0</v>
      </c>
      <c r="K144" s="8">
        <v>0</v>
      </c>
      <c r="L144" s="12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18">
        <f>SUM(Tabla2[[#This Row],[EST_BBVV91]:[ESTyPARyVIV_BBVV91]])</f>
        <v>0</v>
      </c>
      <c r="U144" s="8">
        <v>0</v>
      </c>
      <c r="V144" s="17">
        <v>0</v>
      </c>
      <c r="W144" s="4"/>
      <c r="AA144" s="12"/>
      <c r="AB144" s="8"/>
      <c r="AC144" s="12"/>
      <c r="AD144" s="14"/>
      <c r="AE144" s="14"/>
      <c r="AF144" s="14"/>
      <c r="AG144" s="14"/>
      <c r="AH144" s="14"/>
      <c r="AI144" s="14"/>
      <c r="AJ144" s="14"/>
      <c r="AK144" s="18"/>
      <c r="AM144" s="17"/>
      <c r="AN144" s="1"/>
      <c r="AR144" s="12"/>
      <c r="AS144" s="4"/>
      <c r="AW144" s="12"/>
      <c r="AX144" s="8"/>
      <c r="AY144" s="12"/>
      <c r="AZ144" s="14"/>
      <c r="BA144" s="14"/>
      <c r="BB144" s="14"/>
      <c r="BC144" s="14"/>
      <c r="BD144" s="14"/>
      <c r="BE144" s="14"/>
      <c r="BF144" s="14"/>
      <c r="BG144" s="18"/>
      <c r="BI144" s="17"/>
      <c r="BJ144" s="1"/>
      <c r="BN144" s="12"/>
      <c r="BO144" s="8"/>
      <c r="BP144" s="12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</row>
    <row r="145" spans="1:110">
      <c r="A145" s="10" t="s">
        <v>339</v>
      </c>
      <c r="B145" s="8" t="s">
        <v>161</v>
      </c>
      <c r="C145" s="8" t="s">
        <v>371</v>
      </c>
      <c r="D145" t="s">
        <v>383</v>
      </c>
      <c r="E145" s="8">
        <v>1</v>
      </c>
      <c r="F145" s="10" t="s">
        <v>304</v>
      </c>
      <c r="G145" s="8" t="s">
        <v>155</v>
      </c>
      <c r="H145" s="4">
        <v>1</v>
      </c>
      <c r="I145" s="7">
        <v>369839</v>
      </c>
      <c r="J145" s="8">
        <v>4</v>
      </c>
      <c r="K145" s="7">
        <v>47011</v>
      </c>
      <c r="L145" s="12">
        <v>0.12709999999999999</v>
      </c>
      <c r="M145" s="18">
        <v>0</v>
      </c>
      <c r="N145" s="18">
        <v>3</v>
      </c>
      <c r="O145" s="18">
        <v>0</v>
      </c>
      <c r="P145" s="18">
        <v>0</v>
      </c>
      <c r="Q145" s="18">
        <v>1</v>
      </c>
      <c r="R145" s="18">
        <v>0</v>
      </c>
      <c r="S145" s="18">
        <v>0</v>
      </c>
      <c r="T145" s="18">
        <v>0</v>
      </c>
      <c r="U145" s="7">
        <v>0</v>
      </c>
      <c r="V145" s="17">
        <v>0</v>
      </c>
      <c r="W145" s="4">
        <v>1</v>
      </c>
      <c r="X145" s="7">
        <v>349972</v>
      </c>
      <c r="Y145" s="8">
        <v>8</v>
      </c>
      <c r="Z145" s="7">
        <v>69135</v>
      </c>
      <c r="AA145" s="12">
        <v>0.19754437497856972</v>
      </c>
      <c r="AB145" s="7">
        <v>34226</v>
      </c>
      <c r="AC145" s="12">
        <v>9.7796395140182638E-2</v>
      </c>
      <c r="AD145" s="14">
        <v>0</v>
      </c>
      <c r="AE145" s="14">
        <v>2</v>
      </c>
      <c r="AF145" s="14">
        <v>5</v>
      </c>
      <c r="AG145" s="14">
        <v>0</v>
      </c>
      <c r="AH145" s="14">
        <v>1</v>
      </c>
      <c r="AI145" s="14">
        <v>0</v>
      </c>
      <c r="AJ145" s="14">
        <v>0</v>
      </c>
      <c r="AK145" s="18">
        <v>0</v>
      </c>
      <c r="AL145" s="7">
        <v>0</v>
      </c>
      <c r="AM145" s="17">
        <v>0</v>
      </c>
      <c r="AN145" s="4">
        <v>1</v>
      </c>
      <c r="AO145" s="7">
        <v>354145</v>
      </c>
      <c r="AP145" s="8">
        <v>1</v>
      </c>
      <c r="AQ145" s="7">
        <v>7525</v>
      </c>
      <c r="AR145" s="12">
        <v>2.12E-2</v>
      </c>
      <c r="AS145" s="4">
        <v>1</v>
      </c>
      <c r="AT145" s="7">
        <v>351356</v>
      </c>
      <c r="AU145" s="8">
        <v>7</v>
      </c>
      <c r="AV145" s="7">
        <v>43900</v>
      </c>
      <c r="AW145" s="12">
        <v>0.12494450073429798</v>
      </c>
      <c r="AX145" s="7">
        <v>30930</v>
      </c>
      <c r="AY145" s="12">
        <v>8.8030373751978044E-2</v>
      </c>
      <c r="AZ145" s="14">
        <v>1</v>
      </c>
      <c r="BA145" s="14">
        <v>2</v>
      </c>
      <c r="BB145" s="14">
        <v>4</v>
      </c>
      <c r="BC145" s="14">
        <v>0</v>
      </c>
      <c r="BD145" s="14">
        <v>0</v>
      </c>
      <c r="BE145" s="14">
        <v>0</v>
      </c>
      <c r="BF145" s="14">
        <v>0</v>
      </c>
      <c r="BG145" s="18">
        <v>0</v>
      </c>
      <c r="BH145" s="7">
        <v>0</v>
      </c>
      <c r="BI145" s="17">
        <v>0</v>
      </c>
      <c r="BJ145" s="1">
        <v>1</v>
      </c>
      <c r="BK145" s="7">
        <v>351356</v>
      </c>
      <c r="BL145" s="8">
        <v>2</v>
      </c>
      <c r="BM145" s="7">
        <v>16820</v>
      </c>
      <c r="BN145" s="12">
        <v>4.7871674313232165E-2</v>
      </c>
      <c r="BO145" s="7">
        <v>20755</v>
      </c>
      <c r="BP145" s="12">
        <v>5.91E-2</v>
      </c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</row>
    <row r="146" spans="1:110">
      <c r="A146" s="10" t="s">
        <v>339</v>
      </c>
      <c r="B146" s="8" t="s">
        <v>161</v>
      </c>
      <c r="C146" s="8" t="s">
        <v>371</v>
      </c>
      <c r="D146" t="s">
        <v>383</v>
      </c>
      <c r="F146" s="10" t="s">
        <v>306</v>
      </c>
      <c r="G146" s="8" t="s">
        <v>156</v>
      </c>
      <c r="H146" s="4">
        <v>1</v>
      </c>
      <c r="I146" s="7">
        <v>79954</v>
      </c>
      <c r="J146" s="8">
        <v>0</v>
      </c>
      <c r="K146" s="8">
        <v>0</v>
      </c>
      <c r="L146" s="12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18">
        <f>SUM(Tabla2[[#This Row],[EST_BBVV91]:[ESTyPARyVIV_BBVV91]])</f>
        <v>0</v>
      </c>
      <c r="U146" s="8">
        <v>0</v>
      </c>
      <c r="V146" s="17">
        <v>0</v>
      </c>
      <c r="W146" s="4">
        <v>1</v>
      </c>
      <c r="X146" s="7">
        <v>82285</v>
      </c>
      <c r="Y146" s="8">
        <v>0</v>
      </c>
      <c r="Z146" s="8">
        <v>0</v>
      </c>
      <c r="AA146" s="12">
        <v>0</v>
      </c>
      <c r="AB146" s="8">
        <v>2305</v>
      </c>
      <c r="AC146" s="12">
        <v>2.8012395940936987E-2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18">
        <v>0</v>
      </c>
      <c r="AL146" s="8">
        <v>0</v>
      </c>
      <c r="AM146" s="17">
        <v>0</v>
      </c>
      <c r="AN146" s="4">
        <v>1</v>
      </c>
      <c r="AO146" s="7">
        <v>82327</v>
      </c>
      <c r="AP146" s="8">
        <v>0</v>
      </c>
      <c r="AQ146" s="8">
        <v>0</v>
      </c>
      <c r="AR146" s="12">
        <v>0</v>
      </c>
      <c r="AS146" s="4">
        <v>1</v>
      </c>
      <c r="AT146" s="7">
        <v>80252</v>
      </c>
      <c r="AU146" s="8">
        <v>0</v>
      </c>
      <c r="AV146" s="8">
        <v>0</v>
      </c>
      <c r="AW146" s="12">
        <v>0</v>
      </c>
      <c r="AX146" s="8">
        <v>1215</v>
      </c>
      <c r="AY146" s="12">
        <v>1.5139809599760754E-2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18">
        <v>0</v>
      </c>
      <c r="BH146" s="8">
        <v>0</v>
      </c>
      <c r="BI146" s="17">
        <v>0</v>
      </c>
      <c r="BJ146" s="1">
        <v>1</v>
      </c>
      <c r="BK146" s="7">
        <v>80252</v>
      </c>
      <c r="BL146" s="8">
        <v>0</v>
      </c>
      <c r="BM146" s="8">
        <v>0</v>
      </c>
      <c r="BN146" s="12">
        <v>0</v>
      </c>
      <c r="BO146" s="8">
        <v>4465</v>
      </c>
      <c r="BP146" s="12">
        <v>5.5599999999999997E-2</v>
      </c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</row>
    <row r="147" spans="1:110">
      <c r="A147" s="10" t="s">
        <v>339</v>
      </c>
      <c r="B147" s="8" t="s">
        <v>161</v>
      </c>
      <c r="C147" s="8" t="s">
        <v>371</v>
      </c>
      <c r="D147" t="s">
        <v>383</v>
      </c>
      <c r="F147" s="10" t="s">
        <v>309</v>
      </c>
      <c r="G147" s="8" t="s">
        <v>157</v>
      </c>
      <c r="H147" s="4">
        <v>1</v>
      </c>
      <c r="I147" s="7">
        <v>55823</v>
      </c>
      <c r="J147" s="8">
        <v>1</v>
      </c>
      <c r="K147" s="8">
        <v>4028</v>
      </c>
      <c r="L147" s="12">
        <v>7.22E-2</v>
      </c>
      <c r="M147" s="18">
        <v>0</v>
      </c>
      <c r="N147" s="18">
        <v>1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8">
        <v>0</v>
      </c>
      <c r="V147" s="17">
        <v>0</v>
      </c>
      <c r="W147" s="4">
        <v>1</v>
      </c>
      <c r="X147" s="7">
        <v>51066</v>
      </c>
      <c r="Y147" s="8">
        <v>0</v>
      </c>
      <c r="Z147" s="8">
        <v>0</v>
      </c>
      <c r="AA147" s="12">
        <v>0</v>
      </c>
      <c r="AB147" s="8">
        <v>4472</v>
      </c>
      <c r="AC147" s="12">
        <v>8.7572944816511969E-2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18">
        <v>0</v>
      </c>
      <c r="AL147" s="8">
        <v>0</v>
      </c>
      <c r="AM147" s="17">
        <v>0</v>
      </c>
      <c r="AN147" s="4">
        <v>1</v>
      </c>
      <c r="AO147" s="7">
        <v>49118</v>
      </c>
      <c r="AP147" s="8">
        <v>0</v>
      </c>
      <c r="AQ147" s="8">
        <v>0</v>
      </c>
      <c r="AR147" s="12">
        <v>0</v>
      </c>
      <c r="AS147" s="4">
        <v>1</v>
      </c>
      <c r="AT147" s="7">
        <v>47698</v>
      </c>
      <c r="AU147" s="8">
        <v>0</v>
      </c>
      <c r="AV147" s="8">
        <v>0</v>
      </c>
      <c r="AW147" s="12">
        <v>0</v>
      </c>
      <c r="AX147" s="8">
        <v>8075</v>
      </c>
      <c r="AY147" s="12">
        <v>0.1692943100339637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18">
        <v>0</v>
      </c>
      <c r="BH147" s="8">
        <v>0</v>
      </c>
      <c r="BI147" s="17">
        <v>0</v>
      </c>
      <c r="BJ147" s="1">
        <v>1</v>
      </c>
      <c r="BK147" s="7">
        <v>47698</v>
      </c>
      <c r="BL147" s="8">
        <v>0</v>
      </c>
      <c r="BM147" s="8">
        <v>0</v>
      </c>
      <c r="BN147" s="12">
        <v>0</v>
      </c>
      <c r="BO147" s="8">
        <v>890</v>
      </c>
      <c r="BP147" s="12">
        <v>1.8700000000000001E-2</v>
      </c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</row>
    <row r="148" spans="1:110">
      <c r="A148" s="10" t="s">
        <v>339</v>
      </c>
      <c r="B148" s="8" t="s">
        <v>161</v>
      </c>
      <c r="C148" s="8" t="s">
        <v>371</v>
      </c>
      <c r="D148" t="s">
        <v>383</v>
      </c>
      <c r="F148" s="10" t="s">
        <v>312</v>
      </c>
      <c r="G148" s="8" t="s">
        <v>158</v>
      </c>
      <c r="H148" s="4">
        <v>1</v>
      </c>
      <c r="I148" s="8">
        <v>50466</v>
      </c>
      <c r="J148" s="8">
        <v>1</v>
      </c>
      <c r="K148" s="8">
        <v>8124</v>
      </c>
      <c r="L148" s="12">
        <v>0.161</v>
      </c>
      <c r="M148" s="18">
        <v>0</v>
      </c>
      <c r="N148" s="18">
        <v>0</v>
      </c>
      <c r="O148" s="18">
        <v>0</v>
      </c>
      <c r="P148" s="18">
        <v>0</v>
      </c>
      <c r="Q148" s="18">
        <v>1</v>
      </c>
      <c r="R148" s="18">
        <v>0</v>
      </c>
      <c r="S148" s="18">
        <v>0</v>
      </c>
      <c r="T148" s="18">
        <v>0</v>
      </c>
      <c r="U148" s="8">
        <v>0</v>
      </c>
      <c r="V148" s="17">
        <v>0</v>
      </c>
      <c r="W148" s="4"/>
      <c r="AA148" s="12"/>
      <c r="AB148" s="8"/>
      <c r="AC148" s="12"/>
      <c r="AD148" s="14"/>
      <c r="AE148" s="14"/>
      <c r="AF148" s="14"/>
      <c r="AG148" s="14"/>
      <c r="AH148" s="14"/>
      <c r="AI148" s="14"/>
      <c r="AJ148" s="14"/>
      <c r="AK148" s="18"/>
      <c r="AM148" s="17"/>
      <c r="AN148" s="1"/>
      <c r="AR148" s="12"/>
      <c r="AS148" s="4"/>
      <c r="AW148" s="12"/>
      <c r="AX148" s="8"/>
      <c r="AY148" s="12"/>
      <c r="AZ148" s="14"/>
      <c r="BA148" s="14"/>
      <c r="BB148" s="14"/>
      <c r="BC148" s="14"/>
      <c r="BD148" s="14"/>
      <c r="BE148" s="14"/>
      <c r="BF148" s="14"/>
      <c r="BG148" s="18"/>
      <c r="BI148" s="17"/>
      <c r="BJ148" s="1"/>
      <c r="BN148" s="12"/>
      <c r="BO148" s="8"/>
      <c r="BP148" s="12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</row>
    <row r="149" spans="1:110">
      <c r="A149" s="10" t="s">
        <v>330</v>
      </c>
      <c r="B149" s="8" t="s">
        <v>71</v>
      </c>
      <c r="C149" s="8" t="s">
        <v>372</v>
      </c>
      <c r="D149" s="8" t="s">
        <v>73</v>
      </c>
      <c r="E149" s="8">
        <v>1</v>
      </c>
      <c r="F149" s="10" t="s">
        <v>250</v>
      </c>
      <c r="G149" s="8" t="s">
        <v>73</v>
      </c>
      <c r="H149" s="4">
        <v>1</v>
      </c>
      <c r="I149" s="7">
        <v>64476</v>
      </c>
      <c r="J149" s="8">
        <v>3</v>
      </c>
      <c r="K149" s="8">
        <v>10296</v>
      </c>
      <c r="L149" s="12">
        <v>0.15970000000000001</v>
      </c>
      <c r="M149" s="18">
        <v>0</v>
      </c>
      <c r="N149" s="18">
        <v>1</v>
      </c>
      <c r="O149" s="18">
        <v>1</v>
      </c>
      <c r="P149" s="18">
        <v>0</v>
      </c>
      <c r="Q149" s="18">
        <v>1</v>
      </c>
      <c r="R149" s="18">
        <v>0</v>
      </c>
      <c r="S149" s="18">
        <v>0</v>
      </c>
      <c r="T149" s="18">
        <v>0</v>
      </c>
      <c r="U149" s="8">
        <v>0</v>
      </c>
      <c r="V149" s="17">
        <v>0</v>
      </c>
      <c r="W149" s="4">
        <v>1</v>
      </c>
      <c r="X149" s="7">
        <v>64845</v>
      </c>
      <c r="Y149" s="8">
        <v>0</v>
      </c>
      <c r="Z149" s="8">
        <v>0</v>
      </c>
      <c r="AA149" s="12">
        <v>0</v>
      </c>
      <c r="AB149" s="8">
        <v>5120</v>
      </c>
      <c r="AC149" s="12">
        <v>7.8957514072017884E-2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18">
        <v>0</v>
      </c>
      <c r="AL149" s="8">
        <v>0</v>
      </c>
      <c r="AM149" s="17">
        <v>0</v>
      </c>
      <c r="AN149" s="4">
        <v>1</v>
      </c>
      <c r="AO149" s="7">
        <v>66135</v>
      </c>
      <c r="AP149" s="8">
        <v>0</v>
      </c>
      <c r="AQ149" s="8">
        <v>0</v>
      </c>
      <c r="AR149" s="12">
        <v>0</v>
      </c>
      <c r="AS149" s="4">
        <v>1</v>
      </c>
      <c r="AT149" s="7">
        <v>65417</v>
      </c>
      <c r="AU149" s="8">
        <v>0</v>
      </c>
      <c r="AV149" s="8">
        <v>0</v>
      </c>
      <c r="AW149" s="12">
        <v>0</v>
      </c>
      <c r="AX149" s="8">
        <v>500</v>
      </c>
      <c r="AY149" s="12">
        <v>7.6432731552960242E-3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18">
        <v>0</v>
      </c>
      <c r="BH149" s="8">
        <v>0</v>
      </c>
      <c r="BI149" s="17">
        <v>0</v>
      </c>
      <c r="BJ149" s="1">
        <v>1</v>
      </c>
      <c r="BK149" s="7">
        <v>65417</v>
      </c>
      <c r="BL149" s="8">
        <v>0</v>
      </c>
      <c r="BM149" s="8">
        <v>0</v>
      </c>
      <c r="BN149" s="12">
        <v>0</v>
      </c>
      <c r="BO149" s="8">
        <v>0</v>
      </c>
      <c r="BP149" s="12">
        <v>0</v>
      </c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</row>
    <row r="150" spans="1:110">
      <c r="A150" s="11" t="s">
        <v>325</v>
      </c>
      <c r="B150" s="8" t="s">
        <v>34</v>
      </c>
      <c r="C150" s="8" t="s">
        <v>373</v>
      </c>
      <c r="D150" s="8" t="s">
        <v>33</v>
      </c>
      <c r="E150" s="8">
        <v>1</v>
      </c>
      <c r="F150" s="10" t="s">
        <v>195</v>
      </c>
      <c r="G150" s="8" t="s">
        <v>33</v>
      </c>
      <c r="H150" s="4">
        <v>1</v>
      </c>
      <c r="I150" s="7">
        <v>594394</v>
      </c>
      <c r="J150" s="8">
        <v>3</v>
      </c>
      <c r="K150" s="7">
        <v>19305</v>
      </c>
      <c r="L150" s="12">
        <v>3.2500000000000001E-2</v>
      </c>
      <c r="M150" s="18">
        <v>0</v>
      </c>
      <c r="N150" s="18">
        <v>0</v>
      </c>
      <c r="O150" s="18">
        <v>2</v>
      </c>
      <c r="P150" s="18">
        <v>0</v>
      </c>
      <c r="Q150" s="18">
        <v>1</v>
      </c>
      <c r="R150" s="18">
        <v>0</v>
      </c>
      <c r="S150" s="18">
        <v>0</v>
      </c>
      <c r="T150" s="18">
        <v>1</v>
      </c>
      <c r="U150" s="7">
        <v>6028</v>
      </c>
      <c r="V150" s="17">
        <v>1.0141421346783447E-2</v>
      </c>
      <c r="W150" s="4">
        <v>1</v>
      </c>
      <c r="X150" s="7">
        <v>614905</v>
      </c>
      <c r="Y150" s="8">
        <v>4</v>
      </c>
      <c r="Z150" s="7">
        <v>25859</v>
      </c>
      <c r="AA150" s="12">
        <v>4.2053650563908244E-2</v>
      </c>
      <c r="AB150" s="7">
        <v>22159</v>
      </c>
      <c r="AC150" s="12">
        <v>3.6036460916726971E-2</v>
      </c>
      <c r="AD150" s="14">
        <v>2</v>
      </c>
      <c r="AE150" s="14">
        <v>0</v>
      </c>
      <c r="AF150" s="14">
        <v>2</v>
      </c>
      <c r="AG150" s="14">
        <v>0</v>
      </c>
      <c r="AH150" s="14">
        <v>0</v>
      </c>
      <c r="AI150" s="14">
        <v>0</v>
      </c>
      <c r="AJ150" s="14">
        <v>0</v>
      </c>
      <c r="AK150" s="18">
        <v>0</v>
      </c>
      <c r="AL150" s="7">
        <v>0</v>
      </c>
      <c r="AM150" s="17">
        <v>0</v>
      </c>
      <c r="AN150" s="4">
        <v>1</v>
      </c>
      <c r="AO150" s="7">
        <v>649181</v>
      </c>
      <c r="AP150" s="8">
        <v>2</v>
      </c>
      <c r="AQ150" s="7">
        <v>18033</v>
      </c>
      <c r="AR150" s="12">
        <v>2.7799999999999998E-2</v>
      </c>
      <c r="AS150" s="4">
        <v>1</v>
      </c>
      <c r="AT150" s="7">
        <v>678115</v>
      </c>
      <c r="AU150" s="8">
        <v>9</v>
      </c>
      <c r="AV150" s="7">
        <v>56050</v>
      </c>
      <c r="AW150" s="12">
        <v>8.2655596764560579E-2</v>
      </c>
      <c r="AX150" s="7">
        <v>30110</v>
      </c>
      <c r="AY150" s="12">
        <v>4.4402498101354493E-2</v>
      </c>
      <c r="AZ150" s="14">
        <v>1</v>
      </c>
      <c r="BA150" s="14">
        <v>2</v>
      </c>
      <c r="BB150" s="14">
        <v>6</v>
      </c>
      <c r="BC150" s="14">
        <v>0</v>
      </c>
      <c r="BD150" s="14">
        <v>0</v>
      </c>
      <c r="BE150" s="14">
        <v>0</v>
      </c>
      <c r="BF150" s="14">
        <v>0</v>
      </c>
      <c r="BG150" s="18">
        <v>0</v>
      </c>
      <c r="BH150" s="7">
        <v>0</v>
      </c>
      <c r="BI150" s="17">
        <v>0</v>
      </c>
      <c r="BJ150" s="1">
        <v>1</v>
      </c>
      <c r="BK150" s="7">
        <v>678115</v>
      </c>
      <c r="BL150" s="8">
        <v>13</v>
      </c>
      <c r="BM150" s="7">
        <v>130775</v>
      </c>
      <c r="BN150" s="12">
        <v>0.19285077014960589</v>
      </c>
      <c r="BO150" s="7">
        <v>41800</v>
      </c>
      <c r="BP150" s="12">
        <v>6.1600000000000002E-2</v>
      </c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</row>
    <row r="151" spans="1:110">
      <c r="A151" t="s">
        <v>341</v>
      </c>
      <c r="B151" s="8" t="s">
        <v>97</v>
      </c>
      <c r="C151" s="8" t="s">
        <v>374</v>
      </c>
      <c r="D151" s="8" t="s">
        <v>97</v>
      </c>
      <c r="E151" s="8">
        <v>1</v>
      </c>
      <c r="F151" s="10" t="s">
        <v>257</v>
      </c>
      <c r="G151" s="8" t="s">
        <v>97</v>
      </c>
      <c r="H151" s="4">
        <v>1</v>
      </c>
      <c r="I151" s="7">
        <v>67615</v>
      </c>
      <c r="J151" s="8">
        <v>4</v>
      </c>
      <c r="K151" s="7">
        <v>35805</v>
      </c>
      <c r="L151" s="12">
        <v>0.52949999999999997</v>
      </c>
      <c r="M151" s="18">
        <v>0</v>
      </c>
      <c r="N151" s="18">
        <v>0</v>
      </c>
      <c r="O151" s="18">
        <v>1</v>
      </c>
      <c r="P151" s="18">
        <v>0</v>
      </c>
      <c r="Q151" s="18">
        <v>0</v>
      </c>
      <c r="R151" s="18">
        <v>0</v>
      </c>
      <c r="S151" s="18">
        <v>3</v>
      </c>
      <c r="T151" s="18">
        <v>2</v>
      </c>
      <c r="U151" s="7">
        <v>18813</v>
      </c>
      <c r="V151" s="17">
        <v>0.27823707757154476</v>
      </c>
      <c r="W151" s="4">
        <v>1</v>
      </c>
      <c r="X151" s="7">
        <v>71505</v>
      </c>
      <c r="Y151" s="8">
        <v>4</v>
      </c>
      <c r="Z151" s="7">
        <v>24241</v>
      </c>
      <c r="AA151" s="12">
        <v>0.33901125795398923</v>
      </c>
      <c r="AB151" s="7">
        <v>23968</v>
      </c>
      <c r="AC151" s="12">
        <v>0.33519334312285853</v>
      </c>
      <c r="AD151" s="14">
        <v>0</v>
      </c>
      <c r="AE151" s="14">
        <v>0</v>
      </c>
      <c r="AF151" s="14">
        <v>1</v>
      </c>
      <c r="AG151" s="14">
        <v>0</v>
      </c>
      <c r="AH151" s="14">
        <v>0</v>
      </c>
      <c r="AI151" s="14">
        <v>0</v>
      </c>
      <c r="AJ151" s="14">
        <v>3</v>
      </c>
      <c r="AK151" s="18">
        <v>2</v>
      </c>
      <c r="AL151" s="7">
        <v>12097</v>
      </c>
      <c r="AM151" s="17">
        <v>0.16917698063072512</v>
      </c>
      <c r="AN151" s="4">
        <v>1</v>
      </c>
      <c r="AO151" s="7">
        <v>75861</v>
      </c>
      <c r="AP151" s="8">
        <v>0</v>
      </c>
      <c r="AQ151" s="7">
        <v>0</v>
      </c>
      <c r="AR151" s="12">
        <v>0</v>
      </c>
      <c r="AS151" s="4">
        <v>1</v>
      </c>
      <c r="AT151" s="7">
        <v>83517</v>
      </c>
      <c r="AU151" s="8">
        <v>8</v>
      </c>
      <c r="AV151" s="7">
        <v>70540</v>
      </c>
      <c r="AW151" s="12">
        <v>0.84798942116968201</v>
      </c>
      <c r="AX151" s="7">
        <v>1395</v>
      </c>
      <c r="AY151" s="12">
        <v>1.6703186177664427E-2</v>
      </c>
      <c r="AZ151" s="14">
        <v>0</v>
      </c>
      <c r="BA151" s="14">
        <v>0</v>
      </c>
      <c r="BB151" s="14">
        <v>4</v>
      </c>
      <c r="BC151" s="14">
        <v>1</v>
      </c>
      <c r="BD151" s="14">
        <v>1</v>
      </c>
      <c r="BE151" s="14">
        <v>0</v>
      </c>
      <c r="BF151" s="14">
        <v>2</v>
      </c>
      <c r="BG151" s="18">
        <v>2</v>
      </c>
      <c r="BH151" s="7">
        <v>19360</v>
      </c>
      <c r="BI151" s="17">
        <v>0.23180909275955794</v>
      </c>
      <c r="BJ151" s="1">
        <v>1</v>
      </c>
      <c r="BK151" s="7">
        <v>83517</v>
      </c>
      <c r="BL151" s="8">
        <v>2</v>
      </c>
      <c r="BM151" s="7">
        <v>8985</v>
      </c>
      <c r="BN151" s="12">
        <v>0.10758288731635475</v>
      </c>
      <c r="BO151" s="7">
        <v>2955</v>
      </c>
      <c r="BP151" s="12">
        <v>3.5400000000000001E-2</v>
      </c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</row>
    <row r="152" spans="1:110">
      <c r="A152" t="s">
        <v>342</v>
      </c>
      <c r="B152" s="8" t="s">
        <v>146</v>
      </c>
      <c r="C152" s="8" t="s">
        <v>375</v>
      </c>
      <c r="D152" s="8" t="s">
        <v>146</v>
      </c>
      <c r="E152" s="8">
        <v>1</v>
      </c>
      <c r="F152" s="10" t="s">
        <v>289</v>
      </c>
      <c r="G152" s="8" t="s">
        <v>146</v>
      </c>
      <c r="H152" s="4">
        <v>1</v>
      </c>
      <c r="I152" s="7">
        <v>56600</v>
      </c>
      <c r="J152" s="8">
        <v>4</v>
      </c>
      <c r="K152" s="7">
        <v>32889</v>
      </c>
      <c r="L152" s="12">
        <v>0.58109999999999995</v>
      </c>
      <c r="M152" s="18">
        <v>0</v>
      </c>
      <c r="N152" s="18">
        <v>0</v>
      </c>
      <c r="O152" s="18">
        <v>0</v>
      </c>
      <c r="P152" s="18">
        <v>0</v>
      </c>
      <c r="Q152" s="18">
        <v>1</v>
      </c>
      <c r="R152" s="18">
        <v>0</v>
      </c>
      <c r="S152" s="18">
        <v>3</v>
      </c>
      <c r="T152" s="18">
        <v>2</v>
      </c>
      <c r="U152" s="7">
        <v>17626</v>
      </c>
      <c r="V152" s="17">
        <v>0.31141342756183743</v>
      </c>
      <c r="W152" s="4">
        <v>1</v>
      </c>
      <c r="X152" s="7">
        <v>66411</v>
      </c>
      <c r="Y152" s="8">
        <v>3</v>
      </c>
      <c r="Z152" s="7">
        <v>24378</v>
      </c>
      <c r="AA152" s="12">
        <v>0.36707774314496094</v>
      </c>
      <c r="AB152" s="7">
        <v>13296</v>
      </c>
      <c r="AC152" s="12">
        <v>0.20020779690111579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3</v>
      </c>
      <c r="AK152" s="18">
        <v>3</v>
      </c>
      <c r="AL152" s="7">
        <v>24378</v>
      </c>
      <c r="AM152" s="17">
        <v>0.36707774314496094</v>
      </c>
      <c r="AN152" s="4">
        <v>1</v>
      </c>
      <c r="AO152" s="7">
        <v>66871</v>
      </c>
      <c r="AP152" s="8">
        <v>0</v>
      </c>
      <c r="AQ152" s="7">
        <v>0</v>
      </c>
      <c r="AR152" s="12">
        <v>0</v>
      </c>
      <c r="AS152" s="4">
        <v>1</v>
      </c>
      <c r="AT152" s="7">
        <v>81323</v>
      </c>
      <c r="AU152" s="8">
        <v>4</v>
      </c>
      <c r="AV152" s="7">
        <v>33160</v>
      </c>
      <c r="AW152" s="12">
        <v>0.41113384167131611</v>
      </c>
      <c r="AX152" s="7">
        <v>6720</v>
      </c>
      <c r="AY152" s="12">
        <v>8.2633449331677392E-2</v>
      </c>
      <c r="AZ152" s="14">
        <v>0</v>
      </c>
      <c r="BA152" s="14">
        <v>0</v>
      </c>
      <c r="BB152" s="14">
        <v>1</v>
      </c>
      <c r="BC152" s="14">
        <v>3</v>
      </c>
      <c r="BD152" s="14">
        <v>0</v>
      </c>
      <c r="BE152" s="14">
        <v>0</v>
      </c>
      <c r="BF152" s="14">
        <v>0</v>
      </c>
      <c r="BG152" s="18">
        <v>3</v>
      </c>
      <c r="BH152" s="7">
        <v>29065</v>
      </c>
      <c r="BI152" s="17">
        <v>0.35740196500375049</v>
      </c>
      <c r="BJ152" s="1">
        <v>1</v>
      </c>
      <c r="BK152" s="7">
        <v>81323</v>
      </c>
      <c r="BL152" s="8">
        <v>3</v>
      </c>
      <c r="BM152" s="7">
        <v>24910</v>
      </c>
      <c r="BN152" s="12">
        <v>0.30630940816251245</v>
      </c>
      <c r="BO152" s="7">
        <v>8010</v>
      </c>
      <c r="BP152" s="12">
        <v>9.8500000000000004E-2</v>
      </c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Leyenda</vt:lpstr>
      <vt:lpstr>BD</vt:lpstr>
    </vt:vector>
  </TitlesOfParts>
  <Company>E.T.S. Arquitectura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Carmona</dc:creator>
  <cp:lastModifiedBy>José Manuel Gómez Giménez</cp:lastModifiedBy>
  <dcterms:created xsi:type="dcterms:W3CDTF">2016-11-08T11:56:57Z</dcterms:created>
  <dcterms:modified xsi:type="dcterms:W3CDTF">2020-12-05T12:58:11Z</dcterms:modified>
</cp:coreProperties>
</file>